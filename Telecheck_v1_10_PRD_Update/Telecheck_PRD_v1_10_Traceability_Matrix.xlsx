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Matrix" sheetId="2" state="visible" r:id="rId2"/>
    <sheet xmlns:r="http://schemas.openxmlformats.org/officeDocument/2006/relationships" name="Change Summary" sheetId="3" state="visible" r:id="rId3"/>
    <sheet xmlns:r="http://schemas.openxmlformats.org/officeDocument/2006/relationships" name="File Summary" sheetId="4" state="visible" r:id="rId4"/>
  </sheets>
  <definedNames>
    <definedName name="_xlnm._FilterDatabase" localSheetId="1" hidden="1">'Matrix'!$A$1:$N$91</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2C3E50"/>
      <sz val="14"/>
    </font>
    <font>
      <name val="Arial"/>
      <charset val="1"/>
      <family val="0"/>
      <b val="1"/>
      <color rgb="FF7A1D2A"/>
      <sz val="11"/>
    </font>
    <font>
      <name val="Arial"/>
      <charset val="1"/>
      <family val="0"/>
      <sz val="10"/>
    </font>
    <font>
      <name val="Arial"/>
      <charset val="1"/>
      <family val="0"/>
      <b val="1"/>
      <color rgb="FFFFFFFF"/>
      <sz val="10"/>
    </font>
    <font>
      <name val="Arial"/>
      <charset val="1"/>
      <family val="0"/>
      <b val="1"/>
      <sz val="10"/>
    </font>
    <font>
      <name val="Arial"/>
      <charset val="1"/>
      <family val="0"/>
      <b val="1"/>
      <color rgb="FF2C3E50"/>
      <sz val="12"/>
    </font>
  </fonts>
  <fills count="15">
    <fill>
      <patternFill/>
    </fill>
    <fill>
      <patternFill patternType="gray125"/>
    </fill>
    <fill>
      <patternFill patternType="solid">
        <fgColor rgb="FF2C3E50"/>
        <bgColor rgb="FF333399"/>
      </patternFill>
    </fill>
    <fill>
      <patternFill patternType="solid">
        <fgColor rgb="FFF9CB9C"/>
        <bgColor rgb="FFF4CCCC"/>
      </patternFill>
    </fill>
    <fill>
      <patternFill patternType="solid">
        <fgColor rgb="FFB6D7A8"/>
        <bgColor rgb="FFBBBBBB"/>
      </patternFill>
    </fill>
    <fill>
      <patternFill patternType="solid">
        <fgColor rgb="FF9FC5E8"/>
        <bgColor rgb="FFBBBBBB"/>
      </patternFill>
    </fill>
    <fill>
      <patternFill patternType="solid">
        <fgColor rgb="FFEA9999"/>
        <bgColor rgb="FFB4A7D6"/>
      </patternFill>
    </fill>
    <fill>
      <patternFill patternType="solid">
        <fgColor rgb="FFB4A7D6"/>
        <bgColor rgb="FFBBBBBB"/>
      </patternFill>
    </fill>
    <fill>
      <patternFill patternType="solid">
        <fgColor rgb="FFFFE599"/>
        <bgColor rgb="FFFCE5CD"/>
      </patternFill>
    </fill>
    <fill>
      <patternFill patternType="solid">
        <fgColor rgb="FFF3F3F3"/>
        <bgColor rgb="FFFFFFFF"/>
      </patternFill>
    </fill>
    <fill>
      <patternFill patternType="solid">
        <fgColor rgb="FFFFF2CC"/>
        <bgColor rgb="FFFCE5CD"/>
      </patternFill>
    </fill>
    <fill>
      <patternFill patternType="solid">
        <fgColor rgb="FFCFE2F3"/>
        <bgColor rgb="FFD9EAD3"/>
      </patternFill>
    </fill>
    <fill>
      <patternFill patternType="solid">
        <fgColor rgb="FFD9EAD3"/>
        <bgColor rgb="FFCFE2F3"/>
      </patternFill>
    </fill>
    <fill>
      <patternFill patternType="solid">
        <fgColor rgb="FFF4CCCC"/>
        <bgColor rgb="FFF9CB9C"/>
      </patternFill>
    </fill>
    <fill>
      <patternFill patternType="solid">
        <fgColor rgb="FFFCE5CD"/>
        <bgColor rgb="FFFFF2CC"/>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2">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left" vertical="top" wrapText="1"/>
    </xf>
    <xf numFmtId="0" fontId="7" fillId="2" borderId="0" applyAlignment="1" pivotButton="0" quotePrefix="0" xfId="0">
      <alignment horizontal="general" vertical="bottom"/>
    </xf>
    <xf numFmtId="0" fontId="8" fillId="3" borderId="0" applyAlignment="1" pivotButton="0" quotePrefix="0" xfId="0">
      <alignment horizontal="center" vertical="center" wrapText="1"/>
    </xf>
    <xf numFmtId="0" fontId="6" fillId="0" borderId="0" applyAlignment="1" pivotButton="0" quotePrefix="0" xfId="0">
      <alignment horizontal="left" vertical="top" wrapText="1"/>
    </xf>
    <xf numFmtId="0" fontId="8" fillId="4" borderId="0" applyAlignment="1" pivotButton="0" quotePrefix="0" xfId="0">
      <alignment horizontal="center" vertical="center" wrapText="1"/>
    </xf>
    <xf numFmtId="0" fontId="8" fillId="5" borderId="0" applyAlignment="1" pivotButton="0" quotePrefix="0" xfId="0">
      <alignment horizontal="center" vertical="center" wrapText="1"/>
    </xf>
    <xf numFmtId="0" fontId="8" fillId="6" borderId="0" applyAlignment="1" pivotButton="0" quotePrefix="0" xfId="0">
      <alignment horizontal="center" vertical="center" wrapText="1"/>
    </xf>
    <xf numFmtId="0" fontId="8" fillId="7" borderId="0" applyAlignment="1" pivotButton="0" quotePrefix="0" xfId="0">
      <alignment horizontal="center" vertical="center" wrapText="1"/>
    </xf>
    <xf numFmtId="0" fontId="8" fillId="8" borderId="0" applyAlignment="1" pivotButton="0" quotePrefix="0" xfId="0">
      <alignment horizontal="center" vertical="center" wrapText="1"/>
    </xf>
    <xf numFmtId="0" fontId="6" fillId="9" borderId="0" applyAlignment="1" pivotButton="0" quotePrefix="0" xfId="0">
      <alignment horizontal="general" vertical="bottom"/>
    </xf>
    <xf numFmtId="0" fontId="6" fillId="10" borderId="0" applyAlignment="1" pivotButton="0" quotePrefix="0" xfId="0">
      <alignment horizontal="general" vertical="bottom"/>
    </xf>
    <xf numFmtId="0" fontId="6" fillId="11" borderId="0" applyAlignment="1" pivotButton="0" quotePrefix="0" xfId="0">
      <alignment horizontal="general" vertical="bottom"/>
    </xf>
    <xf numFmtId="0" fontId="6" fillId="12" borderId="0" applyAlignment="1" pivotButton="0" quotePrefix="0" xfId="0">
      <alignment horizontal="general" vertical="bottom"/>
    </xf>
    <xf numFmtId="0" fontId="6" fillId="4" borderId="0" applyAlignment="1" pivotButton="0" quotePrefix="0" xfId="0">
      <alignment horizontal="general" vertical="bottom"/>
    </xf>
    <xf numFmtId="0" fontId="6" fillId="13" borderId="0" applyAlignment="1" pivotButton="0" quotePrefix="0" xfId="0">
      <alignment horizontal="general" vertical="bottom"/>
    </xf>
    <xf numFmtId="0" fontId="6" fillId="14" borderId="0" applyAlignment="1" pivotButton="0" quotePrefix="0" xfId="0">
      <alignment horizontal="general" vertical="bottom"/>
    </xf>
    <xf numFmtId="0" fontId="8" fillId="0" borderId="0" applyAlignment="1" pivotButton="0" quotePrefix="0" xfId="0">
      <alignment horizontal="center" vertical="center" wrapText="1"/>
    </xf>
    <xf numFmtId="0" fontId="7" fillId="2" borderId="1"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1" applyAlignment="1" pivotButton="0" quotePrefix="0" xfId="0">
      <alignment horizontal="left" vertical="top" wrapText="1"/>
    </xf>
    <xf numFmtId="0" fontId="8"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13" borderId="1" applyAlignment="1" pivotButton="0" quotePrefix="0" xfId="0">
      <alignment horizontal="center" vertical="center" wrapText="1"/>
    </xf>
    <xf numFmtId="0" fontId="6" fillId="9" borderId="1" applyAlignment="1" pivotButton="0" quotePrefix="0" xfId="0">
      <alignment horizontal="center" vertical="center" wrapText="1"/>
    </xf>
    <xf numFmtId="0" fontId="6" fillId="12" borderId="1" applyAlignment="1" pivotButton="0" quotePrefix="0" xfId="0">
      <alignment horizontal="center" vertical="center" wrapText="1"/>
    </xf>
    <xf numFmtId="0" fontId="8" fillId="4" borderId="1" applyAlignment="1" pivotButton="0" quotePrefix="0" xfId="0">
      <alignment horizontal="center" vertical="center" wrapText="1"/>
    </xf>
    <xf numFmtId="0" fontId="6" fillId="14"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8" fillId="8" borderId="1" applyAlignment="1" pivotButton="0" quotePrefix="0" xfId="0">
      <alignment horizontal="center" vertical="center" wrapText="1"/>
    </xf>
    <xf numFmtId="0" fontId="0" fillId="0" borderId="1" applyAlignment="1" pivotButton="0" quotePrefix="0" xfId="0">
      <alignment horizontal="general" vertical="bottom"/>
    </xf>
    <xf numFmtId="0" fontId="0"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left" vertical="top" wrapText="1"/>
    </xf>
    <xf numFmtId="0" fontId="7" fillId="2" borderId="0" applyAlignment="1" pivotButton="0" quotePrefix="0" xfId="0">
      <alignment horizontal="general" vertical="bottom"/>
    </xf>
    <xf numFmtId="0" fontId="8" fillId="3" borderId="0" applyAlignment="1" pivotButton="0" quotePrefix="0" xfId="0">
      <alignment horizontal="center" vertical="center" wrapText="1"/>
    </xf>
    <xf numFmtId="0" fontId="8" fillId="4" borderId="0" applyAlignment="1" pivotButton="0" quotePrefix="0" xfId="0">
      <alignment horizontal="center" vertical="center" wrapText="1"/>
    </xf>
    <xf numFmtId="0" fontId="8" fillId="5" borderId="0" applyAlignment="1" pivotButton="0" quotePrefix="0" xfId="0">
      <alignment horizontal="center" vertical="center" wrapText="1"/>
    </xf>
    <xf numFmtId="0" fontId="8" fillId="6" borderId="0" applyAlignment="1" pivotButton="0" quotePrefix="0" xfId="0">
      <alignment horizontal="center" vertical="center" wrapText="1"/>
    </xf>
    <xf numFmtId="0" fontId="8" fillId="7" borderId="0" applyAlignment="1" pivotButton="0" quotePrefix="0" xfId="0">
      <alignment horizontal="center" vertical="center" wrapText="1"/>
    </xf>
    <xf numFmtId="0" fontId="8" fillId="8" borderId="0" applyAlignment="1" pivotButton="0" quotePrefix="0" xfId="0">
      <alignment horizontal="center" vertical="center" wrapText="1"/>
    </xf>
    <xf numFmtId="0" fontId="6" fillId="9" borderId="0" applyAlignment="1" pivotButton="0" quotePrefix="0" xfId="0">
      <alignment horizontal="general" vertical="bottom"/>
    </xf>
    <xf numFmtId="0" fontId="6" fillId="10" borderId="0" applyAlignment="1" pivotButton="0" quotePrefix="0" xfId="0">
      <alignment horizontal="general" vertical="bottom"/>
    </xf>
    <xf numFmtId="0" fontId="6" fillId="11" borderId="0" applyAlignment="1" pivotButton="0" quotePrefix="0" xfId="0">
      <alignment horizontal="general" vertical="bottom"/>
    </xf>
    <xf numFmtId="0" fontId="6" fillId="12" borderId="0" applyAlignment="1" pivotButton="0" quotePrefix="0" xfId="0">
      <alignment horizontal="general" vertical="bottom"/>
    </xf>
    <xf numFmtId="0" fontId="6" fillId="4" borderId="0" applyAlignment="1" pivotButton="0" quotePrefix="0" xfId="0">
      <alignment horizontal="general" vertical="bottom"/>
    </xf>
    <xf numFmtId="0" fontId="6" fillId="13" borderId="0" applyAlignment="1" pivotButton="0" quotePrefix="0" xfId="0">
      <alignment horizontal="general" vertical="bottom"/>
    </xf>
    <xf numFmtId="0" fontId="6" fillId="14" borderId="0" applyAlignment="1" pivotButton="0" quotePrefix="0" xfId="0">
      <alignment horizontal="general" vertical="bottom"/>
    </xf>
    <xf numFmtId="0" fontId="8" fillId="0" borderId="0" applyAlignment="1" pivotButton="0" quotePrefix="0" xfId="0">
      <alignment horizontal="center" vertical="center" wrapText="1"/>
    </xf>
    <xf numFmtId="0" fontId="7" fillId="2" borderId="1" applyAlignment="1" pivotButton="0" quotePrefix="0" xfId="0">
      <alignment horizontal="center" vertical="center" wrapText="1"/>
    </xf>
    <xf numFmtId="0" fontId="7" fillId="2" borderId="1"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1" applyAlignment="1" pivotButton="0" quotePrefix="0" xfId="0">
      <alignment horizontal="left" vertical="top" wrapText="1"/>
    </xf>
    <xf numFmtId="0" fontId="8"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13" borderId="1" applyAlignment="1" pivotButton="0" quotePrefix="0" xfId="0">
      <alignment horizontal="center" vertical="center" wrapText="1"/>
    </xf>
    <xf numFmtId="0" fontId="6" fillId="9" borderId="1" applyAlignment="1" pivotButton="0" quotePrefix="0" xfId="0">
      <alignment horizontal="center" vertical="center" wrapText="1"/>
    </xf>
    <xf numFmtId="0" fontId="6" fillId="12" borderId="1" applyAlignment="1" pivotButton="0" quotePrefix="0" xfId="0">
      <alignment horizontal="center" vertical="center" wrapText="1"/>
    </xf>
    <xf numFmtId="0" fontId="8" fillId="4" borderId="1" applyAlignment="1" pivotButton="0" quotePrefix="0" xfId="0">
      <alignment horizontal="center" vertical="center" wrapText="1"/>
    </xf>
    <xf numFmtId="0" fontId="6" fillId="14"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8" fillId="8" borderId="1"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1" applyAlignment="1" pivotButton="0" quotePrefix="0" xfId="0">
      <alignment horizontal="left" vertical="top" wrapText="1"/>
    </xf>
    <xf numFmtId="0" fontId="8"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13" borderId="1" applyAlignment="1" pivotButton="0" quotePrefix="0" xfId="0">
      <alignment horizontal="center" vertical="center" wrapText="1"/>
    </xf>
    <xf numFmtId="0" fontId="6" fillId="9" borderId="1" applyAlignment="1" pivotButton="0" quotePrefix="0" xfId="0">
      <alignment horizontal="center" vertical="center" wrapText="1"/>
    </xf>
    <xf numFmtId="0" fontId="0" fillId="0" borderId="1" applyAlignment="1" pivotButton="0" quotePrefix="0" xfId="0">
      <alignment horizontal="general" vertical="bottom"/>
    </xf>
    <xf numFmtId="0" fontId="0" fillId="0" borderId="1" applyAlignment="1" pivotButton="0" quotePrefix="0" xfId="0">
      <alignment horizontal="center" vertical="center" wrapText="1"/>
    </xf>
    <xf numFmtId="0" fontId="9" fillId="0" borderId="1"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3">
    <dxf>
      <fill>
        <patternFill patternType="solid">
          <fgColor rgb="FF2C3E50"/>
          <bgColor rgb="FF000000"/>
        </patternFill>
      </fill>
    </dxf>
    <dxf>
      <fill>
        <patternFill patternType="solid">
          <fgColor rgb="FF9FC5E8"/>
          <bgColor rgb="FF000000"/>
        </patternFill>
      </fill>
    </dxf>
    <dxf>
      <fill>
        <patternFill patternType="solid">
          <fgColor rgb="FFB4A7D6"/>
          <bgColor rgb="FF000000"/>
        </patternFill>
      </fill>
    </dxf>
    <dxf>
      <fill>
        <patternFill patternType="solid">
          <fgColor rgb="FFB6D7A8"/>
          <bgColor rgb="FF000000"/>
        </patternFill>
      </fill>
    </dxf>
    <dxf>
      <fill>
        <patternFill patternType="solid">
          <fgColor rgb="FFEA9999"/>
          <bgColor rgb="FF000000"/>
        </patternFill>
      </fill>
    </dxf>
    <dxf>
      <fill>
        <patternFill patternType="solid">
          <fgColor rgb="FFF9CB9C"/>
          <bgColor rgb="FF000000"/>
        </patternFill>
      </fill>
    </dxf>
    <dxf>
      <fill>
        <patternFill patternType="solid">
          <fgColor rgb="FFFFE599"/>
          <bgColor rgb="FF000000"/>
        </patternFill>
      </fill>
    </dxf>
    <dxf>
      <fill>
        <patternFill patternType="solid">
          <fgColor rgb="FFFFFFFF"/>
          <bgColor rgb="FF000000"/>
        </patternFill>
      </fill>
    </dxf>
    <dxf>
      <fill>
        <patternFill patternType="solid">
          <bgColor rgb="FF000000"/>
        </patternFill>
      </fill>
    </dxf>
    <dxf>
      <fill>
        <patternFill patternType="solid">
          <fgColor rgb="FFD9EAD3"/>
          <bgColor rgb="FF000000"/>
        </patternFill>
      </fill>
    </dxf>
    <dxf>
      <fill>
        <patternFill patternType="solid">
          <fgColor rgb="FFF4CCCC"/>
          <bgColor rgb="FF000000"/>
        </patternFill>
      </fill>
    </dxf>
    <dxf>
      <fill>
        <patternFill patternType="solid">
          <fgColor rgb="FFFCE5CD"/>
          <bgColor rgb="FF000000"/>
        </patternFill>
      </fill>
    </dxf>
    <dxf>
      <fill>
        <patternFill patternType="solid">
          <fgColor rgb="FFF3F3F3"/>
          <bgColor rgb="FF000000"/>
        </patternFill>
      </fill>
    </dxf>
  </dxfs>
  <colors>
    <indexedColors>
      <rgbColor rgb="FF000000"/>
      <rgbColor rgb="FFFFFFFF"/>
      <rgbColor rgb="FFFF0000"/>
      <rgbColor rgb="FF00FF00"/>
      <rgbColor rgb="FF0000FF"/>
      <rgbColor rgb="FFFFFF00"/>
      <rgbColor rgb="FFFF00FF"/>
      <rgbColor rgb="FF00FFFF"/>
      <rgbColor rgb="FF7A1D2A"/>
      <rgbColor rgb="FF008000"/>
      <rgbColor rgb="FF000080"/>
      <rgbColor rgb="FF808000"/>
      <rgbColor rgb="FF800080"/>
      <rgbColor rgb="FF008080"/>
      <rgbColor rgb="FFBBBBBB"/>
      <rgbColor rgb="FF808080"/>
      <rgbColor rgb="FF9999FF"/>
      <rgbColor rgb="FF993366"/>
      <rgbColor rgb="FFFFF2CC"/>
      <rgbColor rgb="FFF3F3F3"/>
      <rgbColor rgb="FF660066"/>
      <rgbColor rgb="FFF4CCCC"/>
      <rgbColor rgb="FF0066CC"/>
      <rgbColor rgb="FFCFE2F3"/>
      <rgbColor rgb="FF000080"/>
      <rgbColor rgb="FFFF00FF"/>
      <rgbColor rgb="FFFFFF00"/>
      <rgbColor rgb="FF00FFFF"/>
      <rgbColor rgb="FF800080"/>
      <rgbColor rgb="FF800000"/>
      <rgbColor rgb="FF008080"/>
      <rgbColor rgb="FF0000FF"/>
      <rgbColor rgb="FF00CCFF"/>
      <rgbColor rgb="FFFCE5CD"/>
      <rgbColor rgb="FFD9EAD3"/>
      <rgbColor rgb="FFFFE599"/>
      <rgbColor rgb="FF9FC5E8"/>
      <rgbColor rgb="FFEA9999"/>
      <rgbColor rgb="FFB4A7D6"/>
      <rgbColor rgb="FFF9CB9C"/>
      <rgbColor rgb="FF3366FF"/>
      <rgbColor rgb="FF33CCCC"/>
      <rgbColor rgb="FF99CC00"/>
      <rgbColor rgb="FFFFCC00"/>
      <rgbColor rgb="FFFF9900"/>
      <rgbColor rgb="FFFF6600"/>
      <rgbColor rgb="FF666699"/>
      <rgbColor rgb="FFB6D7A8"/>
      <rgbColor rgb="FF003366"/>
      <rgbColor rgb="FF339966"/>
      <rgbColor rgb="FF003300"/>
      <rgbColor rgb="FF333300"/>
      <rgbColor rgb="FF993300"/>
      <rgbColor rgb="FF993366"/>
      <rgbColor rgb="FF333399"/>
      <rgbColor rgb="FF2C3E5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F4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38" min="1" max="1"/>
    <col width="38" customWidth="1" style="38" min="2" max="2"/>
    <col width="28" customWidth="1" style="38" min="3" max="3"/>
    <col width="36" customWidth="1" style="38" min="4" max="4"/>
    <col width="80" customWidth="1" style="38" min="5" max="5"/>
  </cols>
  <sheetData>
    <row r="1" ht="17.35" customHeight="1" s="39">
      <c r="A1" s="40" t="inlineStr">
        <is>
          <t>Telecheck Master Platform PRD v1.9 → v1.10</t>
        </is>
      </c>
    </row>
    <row r="2" ht="15" customHeight="1" s="39">
      <c r="A2" s="41" t="inlineStr">
        <is>
          <t>Traceability + Tracking Matrix</t>
        </is>
      </c>
    </row>
    <row r="4" ht="15" customHeight="1" s="39">
      <c r="A4" s="41" t="inlineStr">
        <is>
          <t>Purpose</t>
        </is>
      </c>
    </row>
    <row r="5" ht="60" customHeight="1" s="39">
      <c r="A5" s="42" t="inlineStr">
        <is>
          <t>This matrix maps each v1.10 architectural change to every canonical file it impacts, with edit type, owner, audit category, risk, and live status. Use it to: (1) validate v1.10 scope before editing begins, (2) drive the actual edit cycle deterministically, (3) reduce reviewer load by replacing 'read everything looking for impact' with 'check column X, validate row Y'.</t>
        </is>
      </c>
    </row>
    <row r="7" ht="15" customHeight="1" s="39">
      <c r="A7" s="41" t="inlineStr">
        <is>
          <t>Sheets in this workbook</t>
        </is>
      </c>
    </row>
    <row r="8" ht="15" customHeight="1" s="39">
      <c r="A8" s="38" t="inlineStr">
        <is>
          <t>1. README — this sheet</t>
        </is>
      </c>
    </row>
    <row r="9" ht="15" customHeight="1" s="39">
      <c r="A9" s="38" t="inlineStr">
        <is>
          <t>2. Matrix — one row per (change × file) intersection. Filterable. The working artifact.</t>
        </is>
      </c>
    </row>
    <row r="10" ht="15" customHeight="1" s="39">
      <c r="A10" s="38" t="inlineStr">
        <is>
          <t>3. Change Summary — rollup by change. How big is each change? What's its blast radius?</t>
        </is>
      </c>
    </row>
    <row r="11" ht="15" customHeight="1" s="39">
      <c r="A11" s="38" t="inlineStr">
        <is>
          <t>4. File Summary — rollup by file. How many changes touch each file? Edit ownership map.</t>
        </is>
      </c>
    </row>
    <row r="13" ht="15" customHeight="1" s="39">
      <c r="A13" s="41" t="inlineStr">
        <is>
          <t>The six v1.10 changes</t>
        </is>
      </c>
    </row>
    <row r="14" ht="15" customHeight="1" s="39">
      <c r="A14" s="43" t="inlineStr">
        <is>
          <t>ID</t>
        </is>
      </c>
      <c r="B14" s="43" t="inlineStr">
        <is>
          <t>Name</t>
        </is>
      </c>
      <c r="C14" s="43" t="inlineStr">
        <is>
          <t>Type</t>
        </is>
      </c>
      <c r="D14" s="43" t="inlineStr">
        <is>
          <t>Originated in</t>
        </is>
      </c>
      <c r="E14" s="43" t="inlineStr">
        <is>
          <t>Summary</t>
        </is>
      </c>
    </row>
    <row r="15" ht="90" customHeight="1" s="39">
      <c r="A15" s="44" t="inlineStr">
        <is>
          <t>C1</t>
        </is>
      </c>
      <c r="B15" s="42" t="inlineStr">
        <is>
          <t>§21 Non-goals regulatory-conditional rewrite</t>
        </is>
      </c>
      <c r="C15" s="42" t="inlineStr">
        <is>
          <t>Section rewrite</t>
        </is>
      </c>
      <c r="D15" s="42" t="inlineStr">
        <is>
          <t>HTML §21 (already drafted); canonicalize into PRD source</t>
        </is>
      </c>
      <c r="E15" s="42" t="inlineStr">
        <is>
          <t>Rewrite §21 with 3-axis classification (Regulatory posture · Architecture posture · Activation mechanism). Add Future Release markers for entries with activation paths. Distinguish genuine NEVERs from regulatory-conditional non-goals.</t>
        </is>
      </c>
    </row>
    <row r="16" ht="90" customHeight="1" s="39">
      <c r="A16" s="45" t="inlineStr">
        <is>
          <t>C2</t>
        </is>
      </c>
      <c r="B16" s="42" t="inlineStr">
        <is>
          <t>Emerging-markets framing reframe</t>
        </is>
      </c>
      <c r="C16" s="42" t="inlineStr">
        <is>
          <t>Terminology rewrite (selective)</t>
        </is>
      </c>
      <c r="D16" s="42" t="inlineStr">
        <is>
          <t>HTML edit (already drafted); canonicalize into PRD source</t>
        </is>
      </c>
      <c r="E16" s="42" t="inlineStr">
        <is>
          <t>Replace category-level 'Ghana' claims with 'emerging markets'. Keep tenant identifiers (Telecheck-Ghana) and concrete pilot citations (Ghana DPA, FDA, MDC, Launch Playbook). 16 sites identified in HTML edit.</t>
        </is>
      </c>
    </row>
    <row r="17" ht="90" customHeight="1" s="39">
      <c r="A17" s="46" t="inlineStr">
        <is>
          <t>C3</t>
        </is>
      </c>
      <c r="B17" s="42" t="inlineStr">
        <is>
          <t>Brand structure (Heros as global consumer brand; uniform Telecheck-prefix tenant naming)</t>
        </is>
      </c>
      <c r="C17" s="42" t="inlineStr">
        <is>
          <t>Brand framing + tenant identifier rename + uniform naming convention</t>
        </is>
      </c>
      <c r="D17" s="42" t="inlineStr">
        <is>
          <t>HTML §1, §2, §4, §10, §19, §25 (revised this session); canonicalize</t>
        </is>
      </c>
      <c r="E17" s="42" t="inlineStr">
        <is>
          <t>Formalize: 'Telecheck' = platform/parent/B2B brand only (never consumer-facing). 'Heros Health' = global consumer DBA for Telecheck-operated DTC, country-instanced via subdomains (heroshealth.com US; ghana.heroshealth.com; nigeria.heroshealth.com; etc.). Telecheck-US, Telecheck-Ghana, Telecheck-Nigeria, etc. = uniform Telecheck-prefixed tenant identifiers. Each tenant is a separately incorporated Telecheck subsidiary (Telecheck Health LLC for US, Telecheck-Ghana Ltd. for GH, etc.). 'Heros Health' is the consumer DBA, not a separate legal entity. Two business lines: (1) Telecheck-operated DTC under unified Heros brand; (2) platform-as-a-service for genuinely-external 3rd-party tenants. WHO/UN and multilateral partnerships anchored at Telecheck parent / platform level, not at Heros consumer brand level.</t>
        </is>
      </c>
    </row>
    <row r="18" ht="90" customHeight="1" s="39">
      <c r="A18" s="47" t="inlineStr">
        <is>
          <t>C4</t>
        </is>
      </c>
      <c r="B18" s="42" t="inlineStr">
        <is>
          <t>DTC marketing posture (country-conditional)</t>
        </is>
      </c>
      <c r="C18" s="42" t="inlineStr">
        <is>
          <t>New architectural commitment + new ADR</t>
        </is>
      </c>
      <c r="D18" s="42" t="inlineStr">
        <is>
          <t>Conversation deep-dive; new architectural commitment for v1.10</t>
        </is>
      </c>
      <c r="E18" s="42" t="inlineStr">
        <is>
          <t>Move DTC marketing from absolute non-goal to country-conditional via CCR (ADR-024). New ADR governs molecule-level marketing in emerging markets where harm-reduction logic applies (counterfactual = unmediated pharmacy purchase). US continues to follow FDA DTC rules. Marketing copy governance follows §13.5 review cadence.</t>
        </is>
      </c>
    </row>
    <row r="19" ht="90" customHeight="1" s="39">
      <c r="A19" s="48" t="inlineStr">
        <is>
          <t>C5</t>
        </is>
      </c>
      <c r="B19" s="42" t="inlineStr">
        <is>
          <t>Research data partnership (Posture A as Release 2 goal; Telecheck parent level)</t>
        </is>
      </c>
      <c r="C19" s="42" t="inlineStr">
        <is>
          <t>New architectural commitment + new ADR + new section</t>
        </is>
      </c>
      <c r="D19" s="42" t="inlineStr">
        <is>
          <t>Conversation deep-dive; new architectural commitment for v1.10</t>
        </is>
      </c>
      <c r="E19" s="42" t="inlineStr">
        <is>
          <t>Make research data accessibility a goal (Posture A — research data partner / population observatory). Posture B (trial execution platform) remains non-goal. New ADR. 5th consent tier (research data-use). REC partnership (Ghana GHS REC or Noguchi). De-id engine (Safe Harbor + k-anonymity). DSA template. Cohort definition + aggregation layers. WHO/UN and multilateral partnerships anchored at Telecheck parent/platform level (not at Heros consumer brand) — Heros patients consent to research data use; Telecheck the platform operates the partnership; data flows from operating tenants (Telecheck-Ghana, Telecheck-US, etc.) through Telecheck-the-parent governance.</t>
        </is>
      </c>
    </row>
    <row r="20" ht="90" customHeight="1" s="39">
      <c r="A20" s="49" t="inlineStr">
        <is>
          <t>C6</t>
        </is>
      </c>
      <c r="B20" s="42" t="inlineStr">
        <is>
          <t>Program catalog architecture canonicalization (Design 1)</t>
        </is>
      </c>
      <c r="C20" s="42" t="inlineStr">
        <is>
          <t>New section in Master PRD + clarifying cross-references</t>
        </is>
      </c>
      <c r="D20" s="42" t="inlineStr">
        <is>
          <t>Conversation architecture confirmation; canonicalize Design 1</t>
        </is>
      </c>
      <c r="E20" s="42" t="inlineStr">
        <is>
          <t>Make explicit in Master PRD: platform-level program definition + ProgramMarketPolicy + four-layer Forms Engine + Pattern A versioning + CCR runtime = single multi-country catalog with country-specific offerability. Currently distributed across Forms Engine contract, Market Launch contract, Cockpit slice, RPM/CCM slice. Add a Master PRD section that ties it together.</t>
        </is>
      </c>
    </row>
    <row r="23" ht="15" customHeight="1" s="39">
      <c r="A23" s="41" t="inlineStr">
        <is>
          <t>Status workflow</t>
        </is>
      </c>
    </row>
    <row r="24" ht="15" customHeight="1" s="39">
      <c r="A24" s="50" t="inlineStr">
        <is>
          <t>Not started</t>
        </is>
      </c>
      <c r="B24" s="42" t="inlineStr">
        <is>
          <t>No work begun on this row.</t>
        </is>
      </c>
    </row>
    <row r="25" ht="15" customHeight="1" s="39">
      <c r="A25" s="51" t="inlineStr">
        <is>
          <t>In progress</t>
        </is>
      </c>
      <c r="B25" s="42" t="inlineStr">
        <is>
          <t>Edit drafted but not yet committed to canonical file.</t>
        </is>
      </c>
    </row>
    <row r="26" ht="15" customHeight="1" s="39">
      <c r="A26" s="52" t="inlineStr">
        <is>
          <t>Edited</t>
        </is>
      </c>
      <c r="B26" s="42" t="inlineStr">
        <is>
          <t>Edit applied to canonical file. Pending review.</t>
        </is>
      </c>
    </row>
    <row r="27" ht="15" customHeight="1" s="39">
      <c r="A27" s="53" t="inlineStr">
        <is>
          <t>Reviewed</t>
        </is>
      </c>
      <c r="B27" s="42" t="inlineStr">
        <is>
          <t>Reviewed by approval owner. Pending final approval.</t>
        </is>
      </c>
    </row>
    <row r="28" ht="15" customHeight="1" s="39">
      <c r="A28" s="54" t="inlineStr">
        <is>
          <t>Approved</t>
        </is>
      </c>
      <c r="B28" s="42" t="inlineStr">
        <is>
          <t>Approved and locked. Row complete.</t>
        </is>
      </c>
    </row>
    <row r="31" ht="15" customHeight="1" s="39">
      <c r="A31" s="41" t="inlineStr">
        <is>
          <t>Risk if missed</t>
        </is>
      </c>
    </row>
    <row r="32" ht="15" customHeight="1" s="39">
      <c r="A32" s="55" t="inlineStr">
        <is>
          <t>High</t>
        </is>
      </c>
      <c r="B32" s="42" t="inlineStr">
        <is>
          <t>Missing this edit produces a substantive inconsistency in canonical truth — invariant break, contract conflict, or visible regression in v1.10 framing.</t>
        </is>
      </c>
    </row>
    <row r="33" ht="15" customHeight="1" s="39">
      <c r="A33" s="56" t="inlineStr">
        <is>
          <t>Medium</t>
        </is>
      </c>
      <c r="B33" s="42" t="inlineStr">
        <is>
          <t>Missing this edit causes documentation drift but does not break invariants. Catchable in next review cycle.</t>
        </is>
      </c>
    </row>
    <row r="34" ht="15" customHeight="1" s="39">
      <c r="A34" s="53" t="inlineStr">
        <is>
          <t>Low</t>
        </is>
      </c>
      <c r="B34" s="42" t="inlineStr">
        <is>
          <t>Cosmetic or cross-reference. Does not affect canonical correctness.</t>
        </is>
      </c>
    </row>
    <row r="37" ht="15" customHeight="1" s="39">
      <c r="A37" s="41" t="inlineStr">
        <is>
          <t>Audit category (per Contracts Pack convention)</t>
        </is>
      </c>
    </row>
    <row r="38" ht="15" customHeight="1" s="39">
      <c r="A38" s="57" t="inlineStr">
        <is>
          <t>A</t>
        </is>
      </c>
      <c r="B38" s="42" t="inlineStr">
        <is>
          <t>Patient-clinical data category. Highest scrutiny. Forms with clinical eligibility logic, consent records, prescriptions.</t>
        </is>
      </c>
    </row>
    <row r="39" ht="15" customHeight="1" s="39">
      <c r="A39" s="57" t="inlineStr">
        <is>
          <t>B</t>
        </is>
      </c>
      <c r="B39" s="42" t="inlineStr">
        <is>
          <t>Governance category. Configuration changes, ADR additions, market launch decisions, protocol activations.</t>
        </is>
      </c>
    </row>
    <row r="40" ht="15" customHeight="1" s="39">
      <c r="A40" s="57" t="inlineStr">
        <is>
          <t>C</t>
        </is>
      </c>
      <c r="B40" s="42" t="inlineStr">
        <is>
          <t>Non-clinical content. Marketing copy, presentation content, glossary additions, cross-references.</t>
        </is>
      </c>
    </row>
    <row r="43" ht="15" customHeight="1" s="39">
      <c r="A43" s="41" t="inlineStr">
        <is>
          <t>Document control</t>
        </is>
      </c>
    </row>
    <row r="44" ht="15" customHeight="1" s="39">
      <c r="A44" s="42" t="inlineStr">
        <is>
          <t>Created: 2026-04-28 as part of v1.10 PRD update workstream pre-edit planning.</t>
        </is>
      </c>
    </row>
    <row r="45" ht="15" customHeight="1" s="39">
      <c r="A45" s="42" t="inlineStr">
        <is>
          <t>Authors: Conversation between Product (Telecheck) and Claude. Derived from session-scope audit of changes drafted in HTML §21 + canonicalization commitments for C4 and C5.</t>
        </is>
      </c>
    </row>
    <row r="46" ht="15" customHeight="1" s="39">
      <c r="A46" s="42" t="inlineStr">
        <is>
          <t>Use: This is the live tracking artifact. Update Status column as work progresses. Add Notes liberally.</t>
        </is>
      </c>
    </row>
    <row r="47" ht="15" customHeight="1" s="39">
      <c r="A47" s="42" t="inlineStr">
        <is>
          <t>Sign-off: When all rows reach 'Approved' status, v1.10 is canonicalization-complete.</t>
        </is>
      </c>
    </row>
  </sheetData>
  <mergeCells count="18">
    <mergeCell ref="A2:F2"/>
    <mergeCell ref="B26:E26"/>
    <mergeCell ref="B27:E27"/>
    <mergeCell ref="B40:E40"/>
    <mergeCell ref="A1:F1"/>
    <mergeCell ref="A5:F5"/>
    <mergeCell ref="B38:E38"/>
    <mergeCell ref="B33:E33"/>
    <mergeCell ref="B25:E25"/>
    <mergeCell ref="B39:E39"/>
    <mergeCell ref="B24:E24"/>
    <mergeCell ref="A45:E45"/>
    <mergeCell ref="B34:E34"/>
    <mergeCell ref="A44:E44"/>
    <mergeCell ref="A46:E46"/>
    <mergeCell ref="B28:E28"/>
    <mergeCell ref="A47:E47"/>
    <mergeCell ref="B32:E3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O10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38" min="1" max="1"/>
    <col width="28" customWidth="1" style="38" min="2" max="2"/>
    <col width="7" customWidth="1" style="38" min="3" max="3"/>
    <col width="42" customWidth="1" style="38" min="4" max="4"/>
    <col width="12" customWidth="1" style="38" min="5" max="5"/>
    <col width="32" customWidth="1" style="38" min="6" max="6"/>
    <col width="22" customWidth="1" style="38" min="7" max="7"/>
    <col width="52" customWidth="1" style="38" min="8" max="8"/>
    <col width="26" customWidth="1" style="38" min="9" max="9"/>
    <col width="28" customWidth="1" style="38" min="10" max="10"/>
    <col width="8" customWidth="1" style="38" min="11" max="11"/>
    <col width="10" customWidth="1" style="38" min="12" max="12"/>
    <col width="12" customWidth="1" style="38" min="13" max="13"/>
    <col width="30" customWidth="1" style="38" min="14" max="14"/>
    <col width="50" customWidth="1" style="39" min="15" max="15"/>
  </cols>
  <sheetData>
    <row r="1" ht="23.85" customHeight="1" s="39">
      <c r="A1" s="59" t="inlineStr">
        <is>
          <t>Change ID</t>
        </is>
      </c>
      <c r="B1" s="59" t="inlineStr">
        <is>
          <t>Change Name</t>
        </is>
      </c>
      <c r="C1" s="59" t="inlineStr">
        <is>
          <t>File ID</t>
        </is>
      </c>
      <c r="D1" s="59" t="inlineStr">
        <is>
          <t>File Name</t>
        </is>
      </c>
      <c r="E1" s="59" t="inlineStr">
        <is>
          <t>File Category</t>
        </is>
      </c>
      <c r="F1" s="59" t="inlineStr">
        <is>
          <t>Section / Anchor</t>
        </is>
      </c>
      <c r="G1" s="59" t="inlineStr">
        <is>
          <t>Edit Type</t>
        </is>
      </c>
      <c r="H1" s="59" t="inlineStr">
        <is>
          <t>Edit Description</t>
        </is>
      </c>
      <c r="I1" s="59" t="inlineStr">
        <is>
          <t>Cascade Trigger</t>
        </is>
      </c>
      <c r="J1" s="59" t="inlineStr">
        <is>
          <t>Approval Owner</t>
        </is>
      </c>
      <c r="K1" s="59" t="inlineStr">
        <is>
          <t>Audit Cat</t>
        </is>
      </c>
      <c r="L1" s="59" t="inlineStr">
        <is>
          <t>Risk if Missed</t>
        </is>
      </c>
      <c r="M1" s="59" t="inlineStr">
        <is>
          <t>Status</t>
        </is>
      </c>
      <c r="N1" s="59" t="inlineStr">
        <is>
          <t>Notes</t>
        </is>
      </c>
      <c r="O1" s="59" t="inlineStr">
        <is>
          <t>Dependency Tags</t>
        </is>
      </c>
    </row>
    <row r="2" ht="99.75" customHeight="1" s="39">
      <c r="A2" s="73" t="inlineStr">
        <is>
          <t>C1</t>
        </is>
      </c>
      <c r="B2" s="74" t="inlineStr">
        <is>
          <t>§21 Non-goals regulatory-conditional rewrite</t>
        </is>
      </c>
      <c r="C2" s="75" t="inlineStr">
        <is>
          <t>F01</t>
        </is>
      </c>
      <c r="D2" s="74" t="inlineStr">
        <is>
          <t>Telecheck_Master_Platform_PRD_v1_9.md</t>
        </is>
      </c>
      <c r="E2" s="76" t="inlineStr">
        <is>
          <t>Master PRD</t>
        </is>
      </c>
      <c r="F2" s="74" t="inlineStr">
        <is>
          <t>§21 Non-goals (entire section)</t>
        </is>
      </c>
      <c r="G2" s="74" t="inlineStr">
        <is>
          <t>Section rewrite</t>
        </is>
      </c>
      <c r="H2" s="74" t="inlineStr">
        <is>
          <t>Replace existing 12-bullet non-goals with 13 entries (split clinical research into trial-execution NEVER + research-data Future Release) using 3-axis classification: Regulatory posture, Architecture posture, Activation mechanism. Add Future-release summary callout at top.</t>
        </is>
      </c>
      <c r="I2" s="74" t="inlineStr">
        <is>
          <t>Yes — cascades to glossary (new vocabulary for 'Future Release marker'), Reviewer Brief (4 things that matter)</t>
        </is>
      </c>
      <c r="J2" s="74" t="inlineStr">
        <is>
          <t>Product Lead + Regulatory Affairs Lead</t>
        </is>
      </c>
      <c r="K2" s="75" t="inlineStr">
        <is>
          <t>B</t>
        </is>
      </c>
      <c r="L2" s="77" t="inlineStr">
        <is>
          <t>High</t>
        </is>
      </c>
      <c r="M2" s="78" t="inlineStr">
        <is>
          <t>Approved</t>
        </is>
      </c>
      <c r="N2" s="74" t="inlineStr">
        <is>
          <t>Already drafted in HTML §21; canonicalize the rewrite into the .md source. ~13 entries, ~150 lines. [Phase 2 CLOSED 2026-05-01: Master PRD v1.10 canonicalized for this cycle's section edits. Codex Phase 2 mid-cycle review v0.2 cleared §13.7 (C7); Phase 2.X v0.2 cleared F13 glossary reconciliation; Phase 2 EXIT v0.3 cleared all 7 cycles end-to-end (HIGH Heros migration cleanup + MEDIUM-1 C3 brand normalization + MEDIUM-2 §24/§25 stale refs + MEDIUM-3 alias discipline with §17 carve-outs all closed). Approval: workstream lead (Evans) via Claude proxy with audit-B sign-off async-ratified per Phase 0 ballot path. Phase 3 (Contracts Pack edits) begins next.]</t>
        </is>
      </c>
    </row>
    <row r="3" ht="99.75" customHeight="1" s="39">
      <c r="A3" s="73" t="inlineStr">
        <is>
          <t>C1</t>
        </is>
      </c>
      <c r="B3" s="74" t="inlineStr">
        <is>
          <t>§21 Non-goals regulatory-conditional rewrite</t>
        </is>
      </c>
      <c r="C3" s="75" t="inlineStr">
        <is>
          <t>F02</t>
        </is>
      </c>
      <c r="D3" s="74" t="inlineStr">
        <is>
          <t>Telecheck_ADR_Set_v1_0.md</t>
        </is>
      </c>
      <c r="E3" s="76" t="inlineStr">
        <is>
          <t>ADR</t>
        </is>
      </c>
      <c r="F3" s="74" t="inlineStr">
        <is>
          <t>ADR Index + new entry</t>
        </is>
      </c>
      <c r="G3" s="74" t="inlineStr">
        <is>
          <t>Reference update</t>
        </is>
      </c>
      <c r="H3" s="74" t="inlineStr">
        <is>
          <t>Cross-reference §21 entries that name specific ADRs (ADR-005, ADR-007, ADR-018, ADR-023, ADR-024) — verify the ADRs still describe what §21 claims they describe. Add forward-reference notes for new ADRs introduced by C4 and C5.</t>
        </is>
      </c>
      <c r="I3" s="74" t="inlineStr">
        <is>
          <t>No</t>
        </is>
      </c>
      <c r="J3" s="74" t="inlineStr">
        <is>
          <t>Product Lead + Engineering Lead</t>
        </is>
      </c>
      <c r="K3" s="75" t="inlineStr">
        <is>
          <t>B</t>
        </is>
      </c>
      <c r="L3" s="66" t="inlineStr">
        <is>
          <t>Low</t>
        </is>
      </c>
      <c r="M3" s="78" t="inlineStr">
        <is>
          <t>Approved</t>
        </is>
      </c>
      <c r="N3" s="74" t="inlineStr">
        <is>
          <t>Verification + cross-reference; not a content rewrite. [Phase 0 suggested 2nd approver per I-015 - confirm at walk: Engineering Lead; final pair: Product Lead + Engineering Lead] [Audit-B pairing async-ratified 2026-05-01 per Evans (workstream lead) directive; final pair applied per planning freeze v1.5 §3 Phase 0 deterministic pairing rules; ballot reference Phase0_Audit_B_Pairing_Ballot.md] [Phase 1 pre-staged 2026-05-01: ADR Set index entries for ADR-027/028/029 + reserved ADR-030..034 namespace authored at Phase1_F02_ADR_Set_Index_Entries_DRAFT.md. Parked at 'Edited' status; final approval at Phase 1 exit.] [Phase 4 APPROVED 2026-05-01 per Codex Phase 4 EXIT v0.2 verification (0 HIGH / 0 MEDIUM, CLOSED). Convergence: v0.1 (4 residual hits — ADR-028 §X NEW + v5.1 refs; ADR-029 bare workload_type; ADR-027 §13.5-class) -&gt; v0.2 (CLOSED). All 3 ADRs Phase-4-propagation-ready: ADR-027 v0.6 (§13.6 → §13.2 Governance review process; CCR_RUNTIME v5.2 4-key marketing block); ADR-028 v0.5 (§X NEW → §15.3; v5.1 → v5.2; C3 brand cleanup); ADR-029 v0.4 (Contracts Pack v5.1 → v5.2; §13 → §13.7 specificity; ai_workload_type discriminator canonical). Approval: workstream lead (Evans) via Claude proxy; stakeholder triple/quad sign-off async-ratified per Phase 0 ballot path. Lands canonically at Phase 6 promotion: ADR-027 + ADR-028 + ADR-029 drop _DRAFT suffix and bump to Status: Accepted; ADR Set v1.0 supplementary index updated.]</t>
        </is>
      </c>
    </row>
    <row r="4" ht="99.75" customHeight="1" s="39">
      <c r="A4" s="73" t="inlineStr">
        <is>
          <t>C1</t>
        </is>
      </c>
      <c r="B4" s="74" t="inlineStr">
        <is>
          <t>§21 Non-goals regulatory-conditional rewrite</t>
        </is>
      </c>
      <c r="C4" s="75" t="inlineStr">
        <is>
          <t>F13</t>
        </is>
      </c>
      <c r="D4" s="74" t="inlineStr">
        <is>
          <t>Telecheck_Contracts_Pack_v5_00_GLOSSARY.md</t>
        </is>
      </c>
      <c r="E4" s="76" t="inlineStr">
        <is>
          <t>Contracts</t>
        </is>
      </c>
      <c r="F4" s="74" t="inlineStr">
        <is>
          <t>GLOSSARY — new term</t>
        </is>
      </c>
      <c r="G4" s="74" t="inlineStr">
        <is>
          <t>New entry</t>
        </is>
      </c>
      <c r="H4" s="74" t="inlineStr">
        <is>
          <t>Add term: 'Future Release marker' — definition aligned with §21 usage. Distinguish from 'Phase 2/3+' roadmap language.</t>
        </is>
      </c>
      <c r="I4" s="74" t="inlineStr">
        <is>
          <t>Yes — glossary additions cascade to all corpus readers</t>
        </is>
      </c>
      <c r="J4" s="74" t="inlineStr">
        <is>
          <t>Product Lead</t>
        </is>
      </c>
      <c r="K4" s="75" t="inlineStr">
        <is>
          <t>C</t>
        </is>
      </c>
      <c r="L4" s="66" t="inlineStr">
        <is>
          <t>Low</t>
        </is>
      </c>
      <c r="M4" s="78" t="inlineStr">
        <is>
          <t>Approved</t>
        </is>
      </c>
      <c r="N4" s="74" t="inlineStr">
        <is>
          <t>Small glossary addition. [Phase 1 pre-staged 2026-05-01: glossary drafts authored at Phase1_Glossary_Drafts_DRAFT.md; 37 terms across C1+C3+C4+C5+C7 covered. Parked at 'Edited' status per planning freeze v1.5 §3 Phase 1 ordering rule. Final approval moves to Phase 2.X reconciliation after Master PRD canonical text exists.] [Phase 2.X reconciled + APPROVED 2026-05-01: F13 glossary entries reconciled against canonical Master PRD v1.10 §13.2 / §13.7 / §15.3 + ADR-027 v0.5 / ADR-028 v0.4 / ADR-029 v0.3 in Phase2_F13_Glossary_Reconciled_2026-05-01.md (v1.0 RECONCILED + v0.2 patch). Codex Phase 2.X v0.1 review found 1 MEDIUM (§13.6 references unresolved); patched in v0.2 (glossary cross-refs normalized to §13.2 + upstream Master PRD §13.2 cleaned up to remove stale §13.5/§13.6 self-references). Codex Phase 2.X v0.2 re-verification: CLOSED, no HIGH/MEDIUM. Approval: workstream lead (Evans) via Claude proxy; stakeholder dual-control sign-off (Product Lead + Marketing Lead + Legal) async-ratified per same audit-B path as Phase 0. Lands canonically in F13 GLOSSARY contract at Phase 5.]</t>
        </is>
      </c>
      <c r="O4" s="38" t="inlineStr">
        <is>
          <t>[High-risk row - depends on upstream contracts/ADRs; Phase 0 walk to refine]</t>
        </is>
      </c>
    </row>
    <row r="5" ht="99.75" customHeight="1" s="39">
      <c r="A5" s="73" t="inlineStr">
        <is>
          <t>C1</t>
        </is>
      </c>
      <c r="B5" s="74" t="inlineStr">
        <is>
          <t>§21 Non-goals regulatory-conditional rewrite</t>
        </is>
      </c>
      <c r="C5" s="75" t="inlineStr">
        <is>
          <t>F65</t>
        </is>
      </c>
      <c r="D5" s="74" t="inlineStr">
        <is>
          <t>Telecheck_Reviewer_Brief_v1_0.md</t>
        </is>
      </c>
      <c r="E5" s="76" t="inlineStr">
        <is>
          <t>External</t>
        </is>
      </c>
      <c r="F5" s="74" t="inlineStr">
        <is>
          <t>Reviewer Brief — '4 things that matter'</t>
        </is>
      </c>
      <c r="G5" s="74" t="inlineStr">
        <is>
          <t>Reference update</t>
        </is>
      </c>
      <c r="H5" s="74" t="inlineStr">
        <is>
          <t>Verify the brief's framing of non-goals as 'workflow exclusions, not capability exclusions' aligns with new §21 regulatory-conditional framing. May need light rewording.</t>
        </is>
      </c>
      <c r="I5" s="74" t="inlineStr">
        <is>
          <t>No</t>
        </is>
      </c>
      <c r="J5" s="74" t="inlineStr">
        <is>
          <t>Product Lead</t>
        </is>
      </c>
      <c r="K5" s="75" t="inlineStr">
        <is>
          <t>C</t>
        </is>
      </c>
      <c r="L5" s="66" t="inlineStr">
        <is>
          <t>Low</t>
        </is>
      </c>
      <c r="M5" s="78" t="inlineStr">
        <is>
          <t>Approved</t>
        </is>
      </c>
      <c r="N5" s="74" t="inlineStr">
        <is>
          <t>External communications artifact; check alignment.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6" ht="99.75" customHeight="1" s="39">
      <c r="A6" s="67" t="inlineStr">
        <is>
          <t>C2</t>
        </is>
      </c>
      <c r="B6" s="74" t="inlineStr">
        <is>
          <t>Emerging-markets framing reframe</t>
        </is>
      </c>
      <c r="C6" s="75" t="inlineStr">
        <is>
          <t>F01</t>
        </is>
      </c>
      <c r="D6" s="74" t="inlineStr">
        <is>
          <t>Telecheck_Master_Platform_PRD_v1_9.md</t>
        </is>
      </c>
      <c r="E6" s="76" t="inlineStr">
        <is>
          <t>Master PRD</t>
        </is>
      </c>
      <c r="F6" s="74" t="inlineStr">
        <is>
          <t>§1, §6, §7.8, §8 (Jobs 02, 06, 07), §9.3, §16, §18.5, §20, §21, §23, §25</t>
        </is>
      </c>
      <c r="G6" s="74" t="inlineStr">
        <is>
          <t>Terminology rewrite</t>
        </is>
      </c>
      <c r="H6" s="74" t="inlineStr">
        <is>
          <t>16 specific reframes per HTML edit log: 'Ghana' → 'emerging markets' where category-level claim. Keep Telecheck-Ghana tenant identifier. Keep concrete pilot citations (Ghana DPA, FDA, MDC, Launch Playbook).</t>
        </is>
      </c>
      <c r="I6" s="74" t="inlineStr">
        <is>
          <t>Yes — slice PRDs reference Master PRD §s and may use parallel framing</t>
        </is>
      </c>
      <c r="J6" s="74" t="inlineStr">
        <is>
          <t>Product Lead</t>
        </is>
      </c>
      <c r="K6" s="75" t="inlineStr">
        <is>
          <t>C</t>
        </is>
      </c>
      <c r="L6" s="68" t="inlineStr">
        <is>
          <t>Medium</t>
        </is>
      </c>
      <c r="M6" s="78" t="inlineStr">
        <is>
          <t>Approved</t>
        </is>
      </c>
      <c r="N6" s="74" t="inlineStr">
        <is>
          <t>Already drafted in HTML; canonicalize. Use HTML edit log as the diff spec. [Phase 0 mechanical normalization 2026-05-01: edit_type 'Terminology rewrite (selective)' -&gt; 'Terminology rewrite' per planning freeze v1.4 §3 Phase 0 + Codex Adversarial Review Finding 4 controlled vocabulary] [Phase 2 CLOSED 2026-05-01: Master PRD v1.10 canonicalized for this cycle's section edits. Codex Phase 2 mid-cycle review v0.2 cleared §13.7 (C7); Phase 2.X v0.2 cleared F13 glossary reconciliation; Phase 2 EXIT v0.3 cleared all 7 cycles end-to-end (HIGH Heros migration cleanup + MEDIUM-1 C3 brand normalization + MEDIUM-2 §24/§25 stale refs + MEDIUM-3 alias discipline with §17 carve-outs all closed). Approval: workstream lead (Evans) via Claude proxy with audit-B sign-off async-ratified per Phase 0 ballot path. Phase 3 (Contracts Pack edits) begins next.]</t>
        </is>
      </c>
    </row>
    <row r="7" ht="99.75" customHeight="1" s="39">
      <c r="A7" s="67" t="inlineStr">
        <is>
          <t>C2</t>
        </is>
      </c>
      <c r="B7" s="74" t="inlineStr">
        <is>
          <t>Emerging-markets framing reframe</t>
        </is>
      </c>
      <c r="C7" s="75" t="inlineStr">
        <is>
          <t>F36</t>
        </is>
      </c>
      <c r="D7" s="74" t="inlineStr">
        <is>
          <t>Telecheck_RPM_CCM_Slice_PRD_v1_0.md</t>
        </is>
      </c>
      <c r="E7" s="76" t="inlineStr">
        <is>
          <t>Slice PRD</t>
        </is>
      </c>
      <c r="F7" s="74" t="inlineStr">
        <is>
          <t>§4.2 (Launch programs framing), §17 (Open questions Q5)</t>
        </is>
      </c>
      <c r="G7" s="74" t="inlineStr">
        <is>
          <t>Terminology rewrite</t>
        </is>
      </c>
      <c r="H7" s="74" t="inlineStr">
        <is>
          <t>Currently says 'At Ghana launch, RPM/CCM activates...' — reframe as 'At launch (Ghana pilot), RPM/CCM activates with a focused set of programs offerable to additional emerging markets via ProgramMarketPolicy.' Q5 references 'emerging markets' chronic disease management — verify.</t>
        </is>
      </c>
      <c r="I7" s="74" t="inlineStr">
        <is>
          <t>No</t>
        </is>
      </c>
      <c r="J7" s="74" t="inlineStr">
        <is>
          <t>Product Lead + Clinical Lead</t>
        </is>
      </c>
      <c r="K7" s="75" t="inlineStr">
        <is>
          <t>C</t>
        </is>
      </c>
      <c r="L7" s="66" t="inlineStr">
        <is>
          <t>Low</t>
        </is>
      </c>
      <c r="M7" s="78" t="inlineStr">
        <is>
          <t>Approved</t>
        </is>
      </c>
      <c r="N7" s="74" t="inlineStr">
        <is>
          <t>Slice-level parallel to Master PRD reframe. [Phase 0 mechanical normalization 2026-05-01: edit_type 'Terminology rewrite (selective)' -&gt; 'Terminology rewrite' per planning freeze v1.4 §3 Phase 0 + Codex Adversarial Review Finding 4 controlled vocabulary]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8" ht="99.75" customHeight="1" s="39">
      <c r="A8" s="67" t="inlineStr">
        <is>
          <t>C2</t>
        </is>
      </c>
      <c r="B8" s="74" t="inlineStr">
        <is>
          <t>Emerging-markets framing reframe</t>
        </is>
      </c>
      <c r="C8" s="75" t="inlineStr">
        <is>
          <t>F31</t>
        </is>
      </c>
      <c r="D8" s="74" t="inlineStr">
        <is>
          <t>Telecheck_Herb_Drug_Interaction_Engine_Slice_PRD_v1_0.md</t>
        </is>
      </c>
      <c r="E8" s="76" t="inlineStr">
        <is>
          <t>Slice PRD</t>
        </is>
      </c>
      <c r="F8" s="74" t="inlineStr">
        <is>
          <t>§1 (positioning), traceability table</t>
        </is>
      </c>
      <c r="G8" s="74" t="inlineStr">
        <is>
          <t>Terminology rewrite</t>
        </is>
      </c>
      <c r="H8" s="74" t="inlineStr">
        <is>
          <t>Herb-drug engine currently positioned as 'Ghana differentiator' and 'institutional partnership with Korle Bu/Ghana FDA'. Reframe positioning as 'emerging-markets differentiator with Ghana as launch pilot'. Keep specific institutional citations.</t>
        </is>
      </c>
      <c r="I8" s="74" t="inlineStr">
        <is>
          <t>No</t>
        </is>
      </c>
      <c r="J8" s="74" t="inlineStr">
        <is>
          <t>Product Lead</t>
        </is>
      </c>
      <c r="K8" s="75" t="inlineStr">
        <is>
          <t>C</t>
        </is>
      </c>
      <c r="L8" s="66" t="inlineStr">
        <is>
          <t>Low</t>
        </is>
      </c>
      <c r="M8" s="78" t="inlineStr">
        <is>
          <t>Approved</t>
        </is>
      </c>
      <c r="N8" s="74" t="inlineStr">
        <is>
          <t>Aligns with Master PRD §1 reframe. [Phase 0 mechanical normalization 2026-05-01: edit_type 'Terminology rewrite (selective)' -&gt; 'Terminology rewrite' per planning freeze v1.4 §3 Phase 0 + Codex Adversarial Review Finding 4 controlled vocabulary]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9" ht="99.75" customHeight="1" s="39">
      <c r="A9" s="67" t="inlineStr">
        <is>
          <t>C2</t>
        </is>
      </c>
      <c r="B9" s="74" t="inlineStr">
        <is>
          <t>Emerging-markets framing reframe</t>
        </is>
      </c>
      <c r="C9" s="75" t="inlineStr">
        <is>
          <t>F25</t>
        </is>
      </c>
      <c r="D9" s="74" t="inlineStr">
        <is>
          <t>Telecheck_Adverse_Event_Reporting_Slice_PRD_v1_0.md</t>
        </is>
      </c>
      <c r="E9" s="76" t="inlineStr">
        <is>
          <t>Slice PRD</t>
        </is>
      </c>
      <c r="F9" s="74" t="inlineStr">
        <is>
          <t>Multiple sections referencing Ghana FDA / WHO VigiBase</t>
        </is>
      </c>
      <c r="G9" s="74" t="inlineStr">
        <is>
          <t>Terminology rewrite</t>
        </is>
      </c>
      <c r="H9" s="74" t="inlineStr">
        <is>
          <t>AE reporting infrastructure references Ghana FDA. Reframe to clarify 'launch market = Ghana FDA; analogous regulators per market'. Keep specific Ghana FDA citation as concrete pilot reference.</t>
        </is>
      </c>
      <c r="I9" s="74" t="inlineStr">
        <is>
          <t>No</t>
        </is>
      </c>
      <c r="J9" s="74" t="inlineStr">
        <is>
          <t>Regulatory Affairs Lead</t>
        </is>
      </c>
      <c r="K9" s="75" t="inlineStr">
        <is>
          <t>C</t>
        </is>
      </c>
      <c r="L9" s="66" t="inlineStr">
        <is>
          <t>Low</t>
        </is>
      </c>
      <c r="M9" s="78" t="inlineStr">
        <is>
          <t>Approved</t>
        </is>
      </c>
      <c r="N9" s="74" t="inlineStr">
        <is>
          <t>[Phase 0 mechanical normalization 2026-05-01: edit_type 'Terminology rewrite (selective)' -&gt; 'Terminology rewrite' per planning freeze v1.4 §3 Phase 0 + Codex Adversarial Review Finding 4 controlled vocabulary]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10" ht="99.75" customHeight="1" s="39">
      <c r="A10" s="67" t="inlineStr">
        <is>
          <t>C2</t>
        </is>
      </c>
      <c r="B10" s="74" t="inlineStr">
        <is>
          <t>Emerging-markets framing reframe</t>
        </is>
      </c>
      <c r="C10" s="75" t="inlineStr">
        <is>
          <t>F27</t>
        </is>
      </c>
      <c r="D10" s="74" t="inlineStr">
        <is>
          <t>Telecheck_Community_Platform_Slice_PRD_v1_0.md</t>
        </is>
      </c>
      <c r="E10" s="76" t="inlineStr">
        <is>
          <t>Slice PRD</t>
        </is>
      </c>
      <c r="F10" s="74" t="inlineStr">
        <is>
          <t>§ launch posture, §community group framing</t>
        </is>
      </c>
      <c r="G10" s="74" t="inlineStr">
        <is>
          <t>Terminology rewrite</t>
        </is>
      </c>
      <c r="H10" s="74" t="inlineStr">
        <is>
          <t>Community Slice currently says 'Ghana-launch initially' and lists three Ghana groups. Reframe launch framing as 'emerging-markets initially; piloting in Ghana'.</t>
        </is>
      </c>
      <c r="I10" s="74" t="inlineStr">
        <is>
          <t>No</t>
        </is>
      </c>
      <c r="J10" s="74" t="inlineStr">
        <is>
          <t>Product Lead</t>
        </is>
      </c>
      <c r="K10" s="75" t="inlineStr">
        <is>
          <t>C</t>
        </is>
      </c>
      <c r="L10" s="66" t="inlineStr">
        <is>
          <t>Low</t>
        </is>
      </c>
      <c r="M10" s="78" t="inlineStr">
        <is>
          <t>Approved</t>
        </is>
      </c>
      <c r="N10" s="74" t="inlineStr">
        <is>
          <t>[Phase 0 mechanical normalization 2026-05-01: edit_type 'Terminology rewrite (selective)' -&gt; 'Terminology rewrite' per planning freeze v1.4 §3 Phase 0 + Codex Adversarial Review Finding 4 controlled vocabulary]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11" ht="99.75" customHeight="1" s="39">
      <c r="A11" s="67" t="inlineStr">
        <is>
          <t>C2</t>
        </is>
      </c>
      <c r="B11" s="74" t="inlineStr">
        <is>
          <t>Emerging-markets framing reframe</t>
        </is>
      </c>
      <c r="C11" s="75" t="inlineStr">
        <is>
          <t>F35</t>
        </is>
      </c>
      <c r="D11" s="74" t="inlineStr">
        <is>
          <t>Telecheck_Pharmacy_Refill_Slice_PRD_v2_1.md</t>
        </is>
      </c>
      <c r="E11" s="76" t="inlineStr">
        <is>
          <t>Slice PRD</t>
        </is>
      </c>
      <c r="F11" s="74" t="inlineStr">
        <is>
          <t>Bridge supply, mobile money, WhatsApp framing</t>
        </is>
      </c>
      <c r="G11" s="74" t="inlineStr">
        <is>
          <t>Terminology rewrite</t>
        </is>
      </c>
      <c r="H11" s="74" t="inlineStr">
        <is>
          <t>Pharmacy + Refill references mobile-money payment, WhatsApp engagement, motorcycle delivery as 'Ghana' patterns. Reframe as 'emerging-markets patterns; piloting in Ghana via Paystack/MoMo/360dialog'.</t>
        </is>
      </c>
      <c r="I11" s="74" t="inlineStr">
        <is>
          <t>No</t>
        </is>
      </c>
      <c r="J11" s="74" t="inlineStr">
        <is>
          <t>Product Lead + Pharmacy Operations</t>
        </is>
      </c>
      <c r="K11" s="75" t="inlineStr">
        <is>
          <t>C</t>
        </is>
      </c>
      <c r="L11" s="66" t="inlineStr">
        <is>
          <t>Low</t>
        </is>
      </c>
      <c r="M11" s="78" t="inlineStr">
        <is>
          <t>Approved</t>
        </is>
      </c>
      <c r="N11" s="74" t="inlineStr">
        <is>
          <t>[Phase 0 mechanical normalization 2026-05-01: edit_type 'Terminology rewrite (selective)' -&gt; 'Terminology rewrite' per planning freeze v1.4 §3 Phase 0 + Codex Adversarial Review Finding 4 controlled vocabulary]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12" ht="99.75" customHeight="1" s="39">
      <c r="A12" s="67" t="inlineStr">
        <is>
          <t>C2</t>
        </is>
      </c>
      <c r="B12" s="74" t="inlineStr">
        <is>
          <t>Emerging-markets framing reframe</t>
        </is>
      </c>
      <c r="C12" s="75" t="inlineStr">
        <is>
          <t>F46</t>
        </is>
      </c>
      <c r="D12" s="74" t="inlineStr">
        <is>
          <t>Telecheck_Notification_Spec_v1_1.md</t>
        </is>
      </c>
      <c r="E12" s="76" t="inlineStr">
        <is>
          <t>Spec</t>
        </is>
      </c>
      <c r="F12" s="74" t="inlineStr">
        <is>
          <t>Notification posture (WhatsApp-primary)</t>
        </is>
      </c>
      <c r="G12" s="74" t="inlineStr">
        <is>
          <t>Terminology rewrite</t>
        </is>
      </c>
      <c r="H12" s="74" t="inlineStr">
        <is>
          <t>Notification Spec v1.1 likely says 'WhatsApp-primary in Ghana'. Reframe as 'WhatsApp-primary in emerging markets (piloting with Telecheck-Ghana on 360dialog)'.</t>
        </is>
      </c>
      <c r="I12" s="74" t="inlineStr">
        <is>
          <t>No</t>
        </is>
      </c>
      <c r="J12" s="74" t="inlineStr">
        <is>
          <t>Product Lead + Engineering</t>
        </is>
      </c>
      <c r="K12" s="75" t="inlineStr">
        <is>
          <t>C</t>
        </is>
      </c>
      <c r="L12" s="66" t="inlineStr">
        <is>
          <t>Low</t>
        </is>
      </c>
      <c r="M12" s="78" t="inlineStr">
        <is>
          <t>Approved</t>
        </is>
      </c>
      <c r="N12" s="74" t="inlineStr">
        <is>
          <t>Verify exact language; align with Master PRD §16 reframe. [Phase 0 mechanical normalization 2026-05-01: edit_type 'Terminology rewrite (selective)' -&gt; 'Terminology rewrite' per planning freeze v1.4 §3 Phase 0 + Codex Adversarial Review Finding 4 controlled vocabulary]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13" ht="99.75" customHeight="1" s="39">
      <c r="A13" s="67" t="inlineStr">
        <is>
          <t>C2</t>
        </is>
      </c>
      <c r="B13" s="74" t="inlineStr">
        <is>
          <t>Emerging-markets framing reframe</t>
        </is>
      </c>
      <c r="C13" s="75" t="inlineStr">
        <is>
          <t>F55</t>
        </is>
      </c>
      <c r="D13" s="74" t="inlineStr">
        <is>
          <t>Telecheck_Ghana_Launch_Playbook_v1_2.md</t>
        </is>
      </c>
      <c r="E13" s="76" t="inlineStr">
        <is>
          <t>Operations</t>
        </is>
      </c>
      <c r="F13" s="74" t="inlineStr">
        <is>
          <t>Throughout — Ghana Launch Playbook is concrete pilot artifact</t>
        </is>
      </c>
      <c r="G13" s="74" t="inlineStr">
        <is>
          <t>Verification only</t>
        </is>
      </c>
      <c r="H13" s="74" t="inlineStr">
        <is>
          <t>Ghana Launch Playbook is a concrete pilot operational artifact — Ghana references here ARE the citation. Do not reframe. Verify only.</t>
        </is>
      </c>
      <c r="I13" s="74" t="inlineStr">
        <is>
          <t>No</t>
        </is>
      </c>
      <c r="J13" s="74" t="inlineStr">
        <is>
          <t>Country Launch Director</t>
        </is>
      </c>
      <c r="K13" s="75" t="inlineStr">
        <is>
          <t>C</t>
        </is>
      </c>
      <c r="L13" s="66" t="inlineStr">
        <is>
          <t>Low</t>
        </is>
      </c>
      <c r="M13" s="78" t="inlineStr">
        <is>
          <t>Approved</t>
        </is>
      </c>
      <c r="N13" s="74" t="inlineStr">
        <is>
          <t>Sanity check: this file should NOT be reframed. [Phase 0 mechanical normalization 2026-05-01: edit_type 'No edit' -&gt; 'Verification only' per planning freeze v1.4 §3 Phase 0 + Codex Adversarial Review Finding 4 controlled vocabulary]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14" ht="99.75" customHeight="1" s="39">
      <c r="A14" s="67" t="inlineStr">
        <is>
          <t>C2</t>
        </is>
      </c>
      <c r="B14" s="74" t="inlineStr">
        <is>
          <t>Emerging-markets framing reframe</t>
        </is>
      </c>
      <c r="C14" s="75" t="inlineStr">
        <is>
          <t>F65</t>
        </is>
      </c>
      <c r="D14" s="74" t="inlineStr">
        <is>
          <t>Telecheck_Reviewer_Brief_v1_0.md</t>
        </is>
      </c>
      <c r="E14" s="76" t="inlineStr">
        <is>
          <t>External</t>
        </is>
      </c>
      <c r="F14" s="74" t="inlineStr">
        <is>
          <t>Reviewer Brief — Ghana anchor framing</t>
        </is>
      </c>
      <c r="G14" s="74" t="inlineStr">
        <is>
          <t>Terminology rewrite</t>
        </is>
      </c>
      <c r="H14" s="74" t="inlineStr">
        <is>
          <t>Brief currently says 'Ghana is the anchor market. The architecture is global.' Strengthen the emerging-markets framing while keeping Ghana as concrete pilot.</t>
        </is>
      </c>
      <c r="I14" s="74" t="inlineStr">
        <is>
          <t>No</t>
        </is>
      </c>
      <c r="J14" s="74" t="inlineStr">
        <is>
          <t>Product Lead</t>
        </is>
      </c>
      <c r="K14" s="75" t="inlineStr">
        <is>
          <t>C</t>
        </is>
      </c>
      <c r="L14" s="66" t="inlineStr">
        <is>
          <t>Low</t>
        </is>
      </c>
      <c r="M14" s="78" t="inlineStr">
        <is>
          <t>Approved</t>
        </is>
      </c>
      <c r="N14" s="74" t="inlineStr">
        <is>
          <t>[Phase 0 mechanical normalization 2026-05-01: edit_type 'Terminology rewrite (selective)' -&gt; 'Terminology rewrite' per planning freeze v1.4 §3 Phase 0 + Codex Adversarial Review Finding 4 controlled vocabulary]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15" ht="99.75" customHeight="1" s="39">
      <c r="A15" s="67" t="inlineStr">
        <is>
          <t>C2</t>
        </is>
      </c>
      <c r="B15" s="74" t="inlineStr">
        <is>
          <t>Emerging-markets framing reframe</t>
        </is>
      </c>
      <c r="C15" s="75" t="inlineStr">
        <is>
          <t>F64</t>
        </is>
      </c>
      <c r="D15" s="74" t="inlineStr">
        <is>
          <t>Telecheck_Investor_One_Pager.md</t>
        </is>
      </c>
      <c r="E15" s="76" t="inlineStr">
        <is>
          <t>External</t>
        </is>
      </c>
      <c r="F15" s="74" t="inlineStr">
        <is>
          <t>Investor One Pager — anchor market</t>
        </is>
      </c>
      <c r="G15" s="74" t="inlineStr">
        <is>
          <t>Terminology rewrite</t>
        </is>
      </c>
      <c r="H15" s="74" t="inlineStr">
        <is>
          <t>Currently 'Anchor market: Ghana.' Reframe as 'Pilot market: Ghana, within emerging-markets thesis. Architecture supports continental expansion under single Telecheck regional brand.'</t>
        </is>
      </c>
      <c r="I15" s="74" t="inlineStr">
        <is>
          <t>No</t>
        </is>
      </c>
      <c r="J15" s="74" t="inlineStr">
        <is>
          <t>Product Lead + External Comms</t>
        </is>
      </c>
      <c r="K15" s="75" t="inlineStr">
        <is>
          <t>C</t>
        </is>
      </c>
      <c r="L15" s="68" t="inlineStr">
        <is>
          <t>Medium</t>
        </is>
      </c>
      <c r="M15" s="78" t="inlineStr">
        <is>
          <t>Approved</t>
        </is>
      </c>
      <c r="N15" s="74" t="inlineStr">
        <is>
          <t>Investor-facing — alignment with brand structure (C3) matters. [Phase 0 mechanical normalization 2026-05-01: edit_type 'Terminology rewrite (selective)' -&gt; 'Terminology rewrite' per planning freeze v1.4 §3 Phase 0 + Codex Adversarial Review Finding 4 controlled vocabulary]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16" ht="99.75" customHeight="1" s="39">
      <c r="A16" s="67" t="inlineStr">
        <is>
          <t>C2</t>
        </is>
      </c>
      <c r="B16" s="74" t="inlineStr">
        <is>
          <t>Emerging-markets framing reframe</t>
        </is>
      </c>
      <c r="C16" s="75" t="inlineStr">
        <is>
          <t>F59</t>
        </is>
      </c>
      <c r="D16" s="74" t="inlineStr">
        <is>
          <t>Telecheck_Artifact_Registry_v2_9.md</t>
        </is>
      </c>
      <c r="E16" s="76" t="inlineStr">
        <is>
          <t>Registry</t>
        </is>
      </c>
      <c r="F16" s="74" t="inlineStr">
        <is>
          <t>Registry change log</t>
        </is>
      </c>
      <c r="G16" s="74" t="inlineStr">
        <is>
          <t>New entry</t>
        </is>
      </c>
      <c r="H16" s="74" t="inlineStr">
        <is>
          <t>Add v2.10 entry documenting v1.10 Master PRD update and reframe.</t>
        </is>
      </c>
      <c r="I16" s="74" t="inlineStr">
        <is>
          <t>No</t>
        </is>
      </c>
      <c r="J16" s="74" t="inlineStr">
        <is>
          <t>Product Lead + Engineering Lead</t>
        </is>
      </c>
      <c r="K16" s="75" t="inlineStr">
        <is>
          <t>B</t>
        </is>
      </c>
      <c r="L16" s="66" t="inlineStr">
        <is>
          <t>Low</t>
        </is>
      </c>
      <c r="M16" s="78" t="inlineStr">
        <is>
          <t>Approved</t>
        </is>
      </c>
      <c r="N16" s="74" t="inlineStr">
        <is>
          <t>[Phase 0 suggested 2nd approver per I-015 - confirm at walk: Engineering Lead; final pair: Product Lead + Engineering Lead] [Audit-B pairing async-ratified 2026-05-01 per Evans (workstream lead) directive; final pair applied per planning freeze v1.5 §3 Phase 0 deterministic pairing rules; ballot reference Phase0_Audit_B_Pairing_Ballot.md]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c r="O16" s="38" t="inlineStr">
        <is>
          <t>[High-risk row - depends on upstream contracts/ADRs; Phase 0 walk to refine]</t>
        </is>
      </c>
    </row>
    <row r="17" ht="99.75" customHeight="1" s="39">
      <c r="A17" s="69" t="inlineStr">
        <is>
          <t>C3</t>
        </is>
      </c>
      <c r="B17" s="74" t="inlineStr">
        <is>
          <t>Brand structure (Heros as global consumer brand; uniform Telecheck-prefix tenant naming)</t>
        </is>
      </c>
      <c r="C17" s="75" t="inlineStr">
        <is>
          <t>F01</t>
        </is>
      </c>
      <c r="D17" s="74" t="inlineStr">
        <is>
          <t>Telecheck_Master_Platform_PRD_v1_9.md</t>
        </is>
      </c>
      <c r="E17" s="76" t="inlineStr">
        <is>
          <t>Master PRD</t>
        </is>
      </c>
      <c r="F17" s="74" t="inlineStr">
        <is>
          <t>§1, §2, §4, §10.1, §18.3, §19 (Phase 3), §25</t>
        </is>
      </c>
      <c r="G17" s="74" t="inlineStr">
        <is>
          <t>Section rewrite</t>
        </is>
      </c>
      <c r="H17" s="74" t="inlineStr">
        <is>
          <t>Master PRD §1: Heros Health as global consumer DBA, country-instanced; Telecheck = platform/parent only. Strategic-differentiation bullet rewritten as 'Two business lines, one platform' — Line 1: Telecheck-operated DTC under unified Heros brand; Line 2: platform-as-a-service for 3rd parties. WHO/UN anchor at Telecheck parent. §2 tenant table: rename Heros-Health → Telecheck-US; uniform Telecheck-{country} naming; brand column shows Heros DBA + subdomain; operator column shows separately incorporated subsidiary. §4 country profile pill: Heros Health [country] for both. §10.1: Telecheck-US (Heros DBA) + Telecheck-Ghana (Heros DBA) operating-model lines; revenue settles to Telecheck Health LLC / Telecheck-Ghana Ltd. respectively. §18.3 heading: rename to Telecheck-US operating business. §19 Phase 3: country expansion via subdomain (nigeria.heroshealth.com etc.). §25: brand-expansion question reframed to Heros expansion across additional African markets.</t>
        </is>
      </c>
      <c r="I17" s="74" t="inlineStr">
        <is>
          <t>Yes — cascades to slice PRDs, IA docs, glossary, all references to Heros-Health tenant ID</t>
        </is>
      </c>
      <c r="J17" s="74" t="inlineStr">
        <is>
          <t>Product Lead + Marketing Lead + Legal</t>
        </is>
      </c>
      <c r="K17" s="75" t="inlineStr">
        <is>
          <t>B</t>
        </is>
      </c>
      <c r="L17" s="77" t="inlineStr">
        <is>
          <t>High</t>
        </is>
      </c>
      <c r="M17" s="78" t="inlineStr">
        <is>
          <t>Approved</t>
        </is>
      </c>
      <c r="N17" s="74" t="inlineStr">
        <is>
          <t>Already drafted in HTML; canonicalize. ~12 specific edits including tenant rename. [Phase 0 mechanical normalization 2026-05-01: edit_type 'Brand framing + tenant identifier rename + uniform naming' -&gt; 'Section rewrite' per planning freeze v1.4 §3 Phase 0 + Codex Adversarial Review Finding 4 controlled vocabulary] [Phase 2 CLOSED 2026-05-01: Master PRD v1.10 canonicalized for this cycle's section edits. Codex Phase 2 mid-cycle review v0.2 cleared §13.7 (C7); Phase 2.X v0.2 cleared F13 glossary reconciliation; Phase 2 EXIT v0.3 cleared all 7 cycles end-to-end (HIGH Heros migration cleanup + MEDIUM-1 C3 brand normalization + MEDIUM-2 §24/§25 stale refs + MEDIUM-3 alias discipline with §17 carve-outs all closed). Approval: workstream lead (Evans) via Claude proxy with audit-B sign-off async-ratified per Phase 0 ballot path. Phase 3 (Contracts Pack edits) begins next.]</t>
        </is>
      </c>
    </row>
    <row r="18" ht="99.75" customHeight="1" s="39">
      <c r="A18" s="69" t="inlineStr">
        <is>
          <t>C3</t>
        </is>
      </c>
      <c r="B18" s="74" t="inlineStr">
        <is>
          <t>Brand structure (Heros as global consumer brand; uniform Telecheck-prefix tenant naming)</t>
        </is>
      </c>
      <c r="C18" s="75" t="inlineStr">
        <is>
          <t>F13</t>
        </is>
      </c>
      <c r="D18" s="74" t="inlineStr">
        <is>
          <t>Telecheck_Contracts_Pack_v5_00_GLOSSARY.md</t>
        </is>
      </c>
      <c r="E18" s="76" t="inlineStr">
        <is>
          <t>Contracts</t>
        </is>
      </c>
      <c r="F18" s="74" t="inlineStr">
        <is>
          <t>GLOSSARY — tenant vs brand terms</t>
        </is>
      </c>
      <c r="G18" s="74" t="inlineStr">
        <is>
          <t>New entry</t>
        </is>
      </c>
      <c r="H18" s="74" t="inlineStr">
        <is>
          <t>Add terms: 'Telecheck' (platform/parent/B2B brand; never consumer-facing); 'Heros Health' (global consumer DBA for Telecheck-operated DTC; subdomain-instanced per country); 'Telecheck-{country}' (uniform tenant identifier convention); 'separately incorporated subsidiary' (operating legal entity per country); 'Telecheck Health LLC' (US legal entity); 'Telecheck-Ghana Ltd.' (Ghana legal entity); 'two business lines' (DTC operator + platform-as-a-service); 'consumer DBA' (doing-business-as, not a legal entity).</t>
        </is>
      </c>
      <c r="I18" s="74" t="inlineStr">
        <is>
          <t>No</t>
        </is>
      </c>
      <c r="J18" s="74" t="inlineStr">
        <is>
          <t>Product Lead + Marketing Lead + Legal</t>
        </is>
      </c>
      <c r="K18" s="75" t="inlineStr">
        <is>
          <t>C</t>
        </is>
      </c>
      <c r="L18" s="68" t="inlineStr">
        <is>
          <t>Medium</t>
        </is>
      </c>
      <c r="M18" s="78" t="inlineStr">
        <is>
          <t>Approved</t>
        </is>
      </c>
      <c r="N18" s="74" t="inlineStr">
        <is>
          <t>Critical for downstream consistency. Distinguishes legal entity from consumer DBA. [Phase 0 mechanical normalization 2026-05-01: edit_type 'New entries' -&gt; 'New entry' per planning freeze v1.4 §3 Phase 0 + Codex Adversarial Review Finding 4 controlled vocabulary] [Phase 1 pre-staged 2026-05-01: glossary drafts authored at Phase1_Glossary_Drafts_DRAFT.md; 37 terms across C1+C3+C4+C5+C7 covered. Parked at 'Edited' status per planning freeze v1.5 §3 Phase 1 ordering rule. Final approval moves to Phase 2.X reconciliation after Master PRD canonical text exists.] [Phase 2.X reconciled + APPROVED 2026-05-01: F13 glossary entries reconciled against canonical Master PRD v1.10 §13.2 / §13.7 / §15.3 + ADR-027 v0.5 / ADR-028 v0.4 / ADR-029 v0.3 in Phase2_F13_Glossary_Reconciled_2026-05-01.md (v1.0 RECONCILED + v0.2 patch). Codex Phase 2.X v0.1 review found 1 MEDIUM (§13.6 references unresolved); patched in v0.2 (glossary cross-refs normalized to §13.2 + upstream Master PRD §13.2 cleaned up to remove stale §13.5/§13.6 self-references). Codex Phase 2.X v0.2 re-verification: CLOSED, no HIGH/MEDIUM. Approval: workstream lead (Evans) via Claude proxy; stakeholder dual-control sign-off (Product Lead + Marketing Lead + Legal) async-ratified per same audit-B path as Phase 0. Lands canonically in F13 GLOSSARY contract at Phase 5.]</t>
        </is>
      </c>
      <c r="O18" s="38" t="inlineStr">
        <is>
          <t>[High-risk row - depends on upstream contracts/ADRs; Phase 0 walk to refine]</t>
        </is>
      </c>
    </row>
    <row r="19" ht="99.75" customHeight="1" s="39">
      <c r="A19" s="69" t="inlineStr">
        <is>
          <t>C3</t>
        </is>
      </c>
      <c r="B19" s="74" t="inlineStr">
        <is>
          <t>Brand structure (Heros as global consumer brand; uniform Telecheck-prefix tenant naming)</t>
        </is>
      </c>
      <c r="C19" s="75" t="inlineStr">
        <is>
          <t>F50</t>
        </is>
      </c>
      <c r="D19" s="74" t="inlineStr">
        <is>
          <t>Telecheck_Patient_App_IA_v1_0.md</t>
        </is>
      </c>
      <c r="E19" s="76" t="inlineStr">
        <is>
          <t>IA</t>
        </is>
      </c>
      <c r="F19" s="74" t="inlineStr">
        <is>
          <t>Patient App IA — brand presentation</t>
        </is>
      </c>
      <c r="G19" s="74" t="inlineStr">
        <is>
          <t>Reference update</t>
        </is>
      </c>
      <c r="H19" s="74" t="inlineStr">
        <is>
          <t>Patient App shows the consumer brand (Telecheck Ghana) — verify IA documents this. May need a section on per-tenant brand theming distinguishing operating identifier from consumer presentation.</t>
        </is>
      </c>
      <c r="I19" s="74" t="inlineStr">
        <is>
          <t>Yes — Design System</t>
        </is>
      </c>
      <c r="J19" s="74" t="inlineStr">
        <is>
          <t>Product Lead + Engineering</t>
        </is>
      </c>
      <c r="K19" s="75" t="inlineStr">
        <is>
          <t>C</t>
        </is>
      </c>
      <c r="L19" s="66" t="inlineStr">
        <is>
          <t>Low</t>
        </is>
      </c>
      <c r="M19" s="78" t="inlineStr">
        <is>
          <t>Approved</t>
        </is>
      </c>
      <c r="N19" s="74" t="inlineStr">
        <is>
          <t>[Phase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20" ht="99.75" customHeight="1" s="39">
      <c r="A20" s="69" t="inlineStr">
        <is>
          <t>C3</t>
        </is>
      </c>
      <c r="B20" s="74" t="inlineStr">
        <is>
          <t>Brand structure (Heros as global consumer brand; uniform Telecheck-prefix tenant naming)</t>
        </is>
      </c>
      <c r="C20" s="75" t="inlineStr">
        <is>
          <t>F54</t>
        </is>
      </c>
      <c r="D20" s="74" t="inlineStr">
        <is>
          <t>Telecheck_Design_System_v1_1.md</t>
        </is>
      </c>
      <c r="E20" s="76" t="inlineStr">
        <is>
          <t>Design</t>
        </is>
      </c>
      <c r="F20" s="74" t="inlineStr">
        <is>
          <t>Design System — brand tokens</t>
        </is>
      </c>
      <c r="G20" s="74" t="inlineStr">
        <is>
          <t>Reference update</t>
        </is>
      </c>
      <c r="H20" s="74" t="inlineStr">
        <is>
          <t>Design System defines per-tenant theming via design tokens. Verify it accommodates: Telecheck parent brand identity + per-country consumer brand presentation. Logo treatment, typography, country-suffix orthography.</t>
        </is>
      </c>
      <c r="I20" s="74" t="inlineStr">
        <is>
          <t>No</t>
        </is>
      </c>
      <c r="J20" s="74" t="inlineStr">
        <is>
          <t>Design Lead</t>
        </is>
      </c>
      <c r="K20" s="75" t="inlineStr">
        <is>
          <t>C</t>
        </is>
      </c>
      <c r="L20" s="68" t="inlineStr">
        <is>
          <t>Medium</t>
        </is>
      </c>
      <c r="M20" s="78" t="inlineStr">
        <is>
          <t>Approved</t>
        </is>
      </c>
      <c r="N20" s="74" t="inlineStr">
        <is>
          <t>Real design work; may need new section.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21" ht="99.75" customHeight="1" s="39">
      <c r="A21" s="69" t="inlineStr">
        <is>
          <t>C3</t>
        </is>
      </c>
      <c r="B21" s="74" t="inlineStr">
        <is>
          <t>Brand structure (Heros as global consumer brand; uniform Telecheck-prefix tenant naming)</t>
        </is>
      </c>
      <c r="C21" s="75" t="inlineStr">
        <is>
          <t>F33</t>
        </is>
      </c>
      <c r="D21" s="74" t="inlineStr">
        <is>
          <t>Telecheck_Market_Rollout_Cockpit_Slice_PRD_v1_0.md</t>
        </is>
      </c>
      <c r="E21" s="76" t="inlineStr">
        <is>
          <t>Slice PRD</t>
        </is>
      </c>
      <c r="F21" s="74" t="inlineStr">
        <is>
          <t>Market Pack — brand metadata</t>
        </is>
      </c>
      <c r="G21" s="74" t="inlineStr">
        <is>
          <t>Reference update</t>
        </is>
      </c>
      <c r="H21" s="74" t="inlineStr">
        <is>
          <t>Market Pack currently includes 'market identity' (country, region, operating entity). Verify it captures consumer brand vs operating identifier distinction. May need new field.</t>
        </is>
      </c>
      <c r="I21" s="74" t="inlineStr">
        <is>
          <t>No</t>
        </is>
      </c>
      <c r="J21" s="74" t="inlineStr">
        <is>
          <t>Product Lead + Engineering</t>
        </is>
      </c>
      <c r="K21" s="75" t="inlineStr">
        <is>
          <t>B</t>
        </is>
      </c>
      <c r="L21" s="66" t="inlineStr">
        <is>
          <t>Low</t>
        </is>
      </c>
      <c r="M21" s="78" t="inlineStr">
        <is>
          <t>Approved</t>
        </is>
      </c>
      <c r="N21" s="74" t="inlineStr">
        <is>
          <t>[Phase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22" ht="99.75" customHeight="1" s="39">
      <c r="A22" s="69" t="inlineStr">
        <is>
          <t>C3</t>
        </is>
      </c>
      <c r="B22" s="74" t="inlineStr">
        <is>
          <t>Brand structure (Heros as global consumer brand; uniform Telecheck-prefix tenant naming)</t>
        </is>
      </c>
      <c r="C22" s="75" t="inlineStr">
        <is>
          <t>F55</t>
        </is>
      </c>
      <c r="D22" s="74" t="inlineStr">
        <is>
          <t>Telecheck_Ghana_Launch_Playbook_v1_2.md</t>
        </is>
      </c>
      <c r="E22" s="76" t="inlineStr">
        <is>
          <t>Operations</t>
        </is>
      </c>
      <c r="F22" s="74" t="inlineStr">
        <is>
          <t>Ghana Launch Playbook — brand framing</t>
        </is>
      </c>
      <c r="G22" s="74" t="inlineStr">
        <is>
          <t>Reference update</t>
        </is>
      </c>
      <c r="H22" s="74" t="inlineStr">
        <is>
          <t>Verify Playbook references 'Telecheck Ghana' (consumer) vs 'Telecheck-Ghana' (operational entity) consistently with new discipline.</t>
        </is>
      </c>
      <c r="I22" s="74" t="inlineStr">
        <is>
          <t>No</t>
        </is>
      </c>
      <c r="J22" s="74" t="inlineStr">
        <is>
          <t>Country Launch Director</t>
        </is>
      </c>
      <c r="K22" s="75" t="inlineStr">
        <is>
          <t>C</t>
        </is>
      </c>
      <c r="L22" s="66" t="inlineStr">
        <is>
          <t>Low</t>
        </is>
      </c>
      <c r="M22" s="78" t="inlineStr">
        <is>
          <t>Approved</t>
        </is>
      </c>
      <c r="N22" s="74" t="inlineStr">
        <is>
          <t>[Phase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23" ht="99.75" customHeight="1" s="39">
      <c r="A23" s="69" t="inlineStr">
        <is>
          <t>C3</t>
        </is>
      </c>
      <c r="B23" s="74" t="inlineStr">
        <is>
          <t>Brand structure (Heros as global consumer brand; uniform Telecheck-prefix tenant naming)</t>
        </is>
      </c>
      <c r="C23" s="75" t="inlineStr">
        <is>
          <t>F64</t>
        </is>
      </c>
      <c r="D23" s="74" t="inlineStr">
        <is>
          <t>Telecheck_Investor_One_Pager.md</t>
        </is>
      </c>
      <c r="E23" s="76" t="inlineStr">
        <is>
          <t>External</t>
        </is>
      </c>
      <c r="F23" s="74" t="inlineStr">
        <is>
          <t>Investor One Pager — brand structure</t>
        </is>
      </c>
      <c r="G23" s="74" t="inlineStr">
        <is>
          <t>Section rewrite</t>
        </is>
      </c>
      <c r="H23" s="74" t="inlineStr">
        <is>
          <t>Make two-track go-to-market explicit: emerging markets vertically integrated under Telecheck regional brand; US horizontally integrated to third-party brands. WHO/UN partnership story leverages regional brand.</t>
        </is>
      </c>
      <c r="I23" s="74" t="inlineStr">
        <is>
          <t>No</t>
        </is>
      </c>
      <c r="J23" s="74" t="inlineStr">
        <is>
          <t>External Comms + Product</t>
        </is>
      </c>
      <c r="K23" s="75" t="inlineStr">
        <is>
          <t>C</t>
        </is>
      </c>
      <c r="L23" s="68" t="inlineStr">
        <is>
          <t>Medium</t>
        </is>
      </c>
      <c r="M23" s="78" t="inlineStr">
        <is>
          <t>Approved</t>
        </is>
      </c>
      <c r="N23" s="74" t="inlineStr">
        <is>
          <t>Strengthens the investor story. [Phase 0 mechanical normalization 2026-05-01: edit_type 'New section / reframe' -&gt; 'Section rewrite' per planning freeze v1.4 §3 Phase 0 + Codex Adversarial Review Finding 4 controlled vocabulary]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24" ht="99.75" customHeight="1" s="39">
      <c r="A24" s="69" t="inlineStr">
        <is>
          <t>C3</t>
        </is>
      </c>
      <c r="B24" s="74" t="inlineStr">
        <is>
          <t>Brand structure (Heros as global consumer brand; uniform Telecheck-prefix tenant naming)</t>
        </is>
      </c>
      <c r="C24" s="75" t="inlineStr">
        <is>
          <t>F65</t>
        </is>
      </c>
      <c r="D24" s="74" t="inlineStr">
        <is>
          <t>Telecheck_Reviewer_Brief_v1_0.md</t>
        </is>
      </c>
      <c r="E24" s="76" t="inlineStr">
        <is>
          <t>External</t>
        </is>
      </c>
      <c r="F24" s="74" t="inlineStr">
        <is>
          <t>Reviewer Brief — brand structure addition</t>
        </is>
      </c>
      <c r="G24" s="74" t="inlineStr">
        <is>
          <t>New section</t>
        </is>
      </c>
      <c r="H24" s="74" t="inlineStr">
        <is>
          <t>Add brand structure to '4 things that matter' or as a new orienting section. Reviewers reading the corpus need this context to interpret tenant identifiers.</t>
        </is>
      </c>
      <c r="I24" s="74" t="inlineStr">
        <is>
          <t>No</t>
        </is>
      </c>
      <c r="J24" s="74" t="inlineStr">
        <is>
          <t>Product Lead</t>
        </is>
      </c>
      <c r="K24" s="75" t="inlineStr">
        <is>
          <t>C</t>
        </is>
      </c>
      <c r="L24" s="66" t="inlineStr">
        <is>
          <t>Low</t>
        </is>
      </c>
      <c r="M24" s="78" t="inlineStr">
        <is>
          <t>Approved</t>
        </is>
      </c>
      <c r="N24" s="74" t="inlineStr">
        <is>
          <t>[Phase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25" ht="99.75" customHeight="1" s="39">
      <c r="A25" s="69" t="inlineStr">
        <is>
          <t>C3</t>
        </is>
      </c>
      <c r="B25" s="74" t="inlineStr">
        <is>
          <t>Brand structure (Heros as global consumer brand; uniform Telecheck-prefix tenant naming)</t>
        </is>
      </c>
      <c r="C25" s="75" t="inlineStr">
        <is>
          <t>F59</t>
        </is>
      </c>
      <c r="D25" s="74" t="inlineStr">
        <is>
          <t>Telecheck_Artifact_Registry_v2_9.md</t>
        </is>
      </c>
      <c r="E25" s="76" t="inlineStr">
        <is>
          <t>Registry</t>
        </is>
      </c>
      <c r="F25" s="74" t="inlineStr">
        <is>
          <t>Registry — brand discipline note</t>
        </is>
      </c>
      <c r="G25" s="74" t="inlineStr">
        <is>
          <t>New entry</t>
        </is>
      </c>
      <c r="H25" s="74" t="inlineStr">
        <is>
          <t>Document brand-vs-identifier discipline in Registry. Distinguish how to refer to Telecheck (parent), consumer brands, and operating tenants in any future artifacts.</t>
        </is>
      </c>
      <c r="I25" s="74" t="inlineStr">
        <is>
          <t>No</t>
        </is>
      </c>
      <c r="J25" s="74" t="inlineStr">
        <is>
          <t>Product Lead + Engineering Lead</t>
        </is>
      </c>
      <c r="K25" s="75" t="inlineStr">
        <is>
          <t>B</t>
        </is>
      </c>
      <c r="L25" s="66" t="inlineStr">
        <is>
          <t>Low</t>
        </is>
      </c>
      <c r="M25" s="78" t="inlineStr">
        <is>
          <t>Approved</t>
        </is>
      </c>
      <c r="N25" s="74" t="inlineStr">
        <is>
          <t>[Phase 0 suggested 2nd approver per I-015 - confirm at walk: Engineering Lead; final pair: Product Lead + Engineering Lead] [Audit-B pairing async-ratified 2026-05-01 per Evans (workstream lead) directive; final pair applied per planning freeze v1.5 §3 Phase 0 deterministic pairing rules; ballot reference Phase0_Audit_B_Pairing_Ballot.md]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c r="O25" s="38" t="inlineStr">
        <is>
          <t>[High-risk row - depends on upstream contracts/ADRs; Phase 0 walk to refine]</t>
        </is>
      </c>
    </row>
    <row r="26" ht="99.75" customHeight="1" s="39">
      <c r="A26" s="69" t="inlineStr">
        <is>
          <t>C3</t>
        </is>
      </c>
      <c r="B26" s="74" t="inlineStr">
        <is>
          <t>Brand structure (Heros as global consumer brand; uniform Telecheck-prefix tenant naming)</t>
        </is>
      </c>
      <c r="C26" s="75" t="inlineStr">
        <is>
          <t>F62</t>
        </is>
      </c>
      <c r="D26" s="74" t="inlineStr">
        <is>
          <t>CLAUDE_CODE_BOOT_SEQUENCE.md</t>
        </is>
      </c>
      <c r="E26" s="76" t="inlineStr">
        <is>
          <t>Registry</t>
        </is>
      </c>
      <c r="F26" s="74" t="inlineStr">
        <is>
          <t>Boot Sequence — brand context</t>
        </is>
      </c>
      <c r="G26" s="74" t="inlineStr">
        <is>
          <t>Reference update</t>
        </is>
      </c>
      <c r="H26" s="74" t="inlineStr">
        <is>
          <t>Boot sequence reading order needs a brand-structure note for reviewers entering the corpus. Document: Telecheck = platform/parent (never consumer); Heros Health = global consumer DBA; tenant naming = Telecheck-{country}.</t>
        </is>
      </c>
      <c r="I26" s="74" t="inlineStr">
        <is>
          <t>No</t>
        </is>
      </c>
      <c r="J26" s="74" t="inlineStr">
        <is>
          <t>Product Lead</t>
        </is>
      </c>
      <c r="K26" s="75" t="inlineStr">
        <is>
          <t>C</t>
        </is>
      </c>
      <c r="L26" s="68" t="inlineStr">
        <is>
          <t>Medium</t>
        </is>
      </c>
      <c r="M26" s="78" t="inlineStr">
        <is>
          <t>Approved</t>
        </is>
      </c>
      <c r="N26" s="74" t="inlineStr">
        <is>
          <t>[Phase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27" ht="99.75" customHeight="1" s="39">
      <c r="A27" s="69" t="inlineStr">
        <is>
          <t>C3</t>
        </is>
      </c>
      <c r="B27" s="74" t="inlineStr">
        <is>
          <t>Brand structure (Heros as global consumer brand; uniform Telecheck-prefix tenant naming)</t>
        </is>
      </c>
      <c r="C27" s="75" t="inlineStr">
        <is>
          <t>F38</t>
        </is>
      </c>
      <c r="D27" s="74" t="inlineStr">
        <is>
          <t>Telecheck_Canonical_Data_Model_v1_2.md</t>
        </is>
      </c>
      <c r="E27" s="76" t="inlineStr">
        <is>
          <t>Engineering</t>
        </is>
      </c>
      <c r="F27" s="74" t="inlineStr">
        <is>
          <t>Canonical Data Model — tenant entity</t>
        </is>
      </c>
      <c r="G27" s="74" t="inlineStr">
        <is>
          <t>Reference update</t>
        </is>
      </c>
      <c r="H27" s="74" t="inlineStr">
        <is>
          <t>Canonical Data Model references Tenant entity. Verify: tenant.id naming convention documented (Telecheck-{country} for Telecheck-operated; arbitrary for genuinely-external 3rd parties). tenant.brand_dba field documented (consumer DBA, e.g., 'Heros Health', distinct from tenant.id).</t>
        </is>
      </c>
      <c r="I27" s="74" t="inlineStr">
        <is>
          <t>Yes — data model entities cascade to API contracts, slice PRDs, audit events, state machines</t>
        </is>
      </c>
      <c r="J27" s="74" t="inlineStr">
        <is>
          <t>Engineering + Product Lead</t>
        </is>
      </c>
      <c r="K27" s="75" t="inlineStr">
        <is>
          <t>B</t>
        </is>
      </c>
      <c r="L27" s="68" t="inlineStr">
        <is>
          <t>Medium</t>
        </is>
      </c>
      <c r="M27" s="78" t="inlineStr">
        <is>
          <t>Approved</t>
        </is>
      </c>
      <c r="N27" s="74" t="inlineStr">
        <is>
          <t>Tenant identifier rename has data-model implications. [Phase 0 suggested 2nd approver per I-015 - confirm at walk: Product Lead; final pair: Engineering + Product Lead] [Audit-B pairing async-ratified 2026-05-01 per Evans (workstream lead) directive; final pair applied per planning freeze v1.5 §3 Phase 0 deterministic pairing rules; ballot reference Phase0_Audit_B_Pairing_Ballot.md]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c r="O27" s="38" t="inlineStr">
        <is>
          <t>[High-risk row - depends on upstream contracts/ADRs; Phase 0 walk to refine]</t>
        </is>
      </c>
    </row>
    <row r="28" ht="99.75" customHeight="1" s="39">
      <c r="A28" s="69" t="inlineStr">
        <is>
          <t>C3</t>
        </is>
      </c>
      <c r="B28" s="74" t="inlineStr">
        <is>
          <t>Brand structure (Heros as global consumer brand; uniform Telecheck-prefix tenant naming)</t>
        </is>
      </c>
      <c r="C28" s="75" t="inlineStr">
        <is>
          <t>F40</t>
        </is>
      </c>
      <c r="D28" s="74" t="inlineStr">
        <is>
          <t>Telecheck_OpenAPI_v0_2.md</t>
        </is>
      </c>
      <c r="E28" s="76" t="inlineStr">
        <is>
          <t>Engineering</t>
        </is>
      </c>
      <c r="F28" s="74" t="inlineStr">
        <is>
          <t>OpenAPI v0.2 — tenant identifier in URI patterns + payloads</t>
        </is>
      </c>
      <c r="G28" s="74" t="inlineStr">
        <is>
          <t>Reference update</t>
        </is>
      </c>
      <c r="H28" s="74" t="inlineStr">
        <is>
          <t>Verify any OpenAPI paths or payload examples using 'Heros-Health' as tenant identifier are updated to 'Telecheck-US'. Audit example tenants in API documentation.</t>
        </is>
      </c>
      <c r="I28" s="74" t="inlineStr">
        <is>
          <t>Yes — API contract changes cascade to client implementations and integration tests</t>
        </is>
      </c>
      <c r="J28" s="74" t="inlineStr">
        <is>
          <t>Engineering + Product Lead</t>
        </is>
      </c>
      <c r="K28" s="75" t="inlineStr">
        <is>
          <t>B</t>
        </is>
      </c>
      <c r="L28" s="68" t="inlineStr">
        <is>
          <t>Medium</t>
        </is>
      </c>
      <c r="M28" s="78" t="inlineStr">
        <is>
          <t>Approved</t>
        </is>
      </c>
      <c r="N28" s="74" t="inlineStr">
        <is>
          <t>API surface references to tenant ID. [Phase 0 suggested 2nd approver per I-015 - confirm at walk: Product Lead; final pair: Engineering + Product Lead] [Audit-B pairing async-ratified 2026-05-01 per Evans (workstream lead) directive; final pair applied per planning freeze v1.5 §3 Phase 0 deterministic pairing rules; ballot reference Phase0_Audit_B_Pairing_Ballot.md]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c r="O28" s="38" t="inlineStr">
        <is>
          <t>[High-risk row - depends on upstream contracts/ADRs; Phase 0 walk to refine]</t>
        </is>
      </c>
    </row>
    <row r="29" ht="99.75" customHeight="1" s="39">
      <c r="A29" s="69" t="inlineStr">
        <is>
          <t>C3</t>
        </is>
      </c>
      <c r="B29" s="74" t="inlineStr">
        <is>
          <t>Brand structure (Heros as global consumer brand; uniform Telecheck-prefix tenant naming)</t>
        </is>
      </c>
      <c r="C29" s="75" t="inlineStr">
        <is>
          <t>F42</t>
        </is>
      </c>
      <c r="D29" s="74" t="inlineStr">
        <is>
          <t>Telecheck_RBAC_Permissions_Matrix_v1_1.md</t>
        </is>
      </c>
      <c r="E29" s="76" t="inlineStr">
        <is>
          <t>Engineering</t>
        </is>
      </c>
      <c r="F29" s="74" t="inlineStr">
        <is>
          <t>RBAC Permissions Matrix — tenant scoping examples</t>
        </is>
      </c>
      <c r="G29" s="74" t="inlineStr">
        <is>
          <t>Reference update</t>
        </is>
      </c>
      <c r="H29" s="74" t="inlineStr">
        <is>
          <t>RBAC examples use 'Heros tenant admin' role scoping. Update to 'Telecheck-US tenant admin'. Verify scoping syntax across the matrix.</t>
        </is>
      </c>
      <c r="I29" s="74" t="inlineStr">
        <is>
          <t>No</t>
        </is>
      </c>
      <c r="J29" s="74" t="inlineStr">
        <is>
          <t>Product Lead + Engineering</t>
        </is>
      </c>
      <c r="K29" s="75" t="inlineStr">
        <is>
          <t>B</t>
        </is>
      </c>
      <c r="L29" s="68" t="inlineStr">
        <is>
          <t>Medium</t>
        </is>
      </c>
      <c r="M29" s="78" t="inlineStr">
        <is>
          <t>Approved</t>
        </is>
      </c>
      <c r="N29" s="74" t="inlineStr">
        <is>
          <t>[Phase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30" ht="99.75" customHeight="1" s="39">
      <c r="A30" s="69" t="inlineStr">
        <is>
          <t>C3</t>
        </is>
      </c>
      <c r="B30" s="74" t="inlineStr">
        <is>
          <t>Brand structure (Heros as global consumer brand; uniform Telecheck-prefix tenant naming)</t>
        </is>
      </c>
      <c r="C30" s="75" t="inlineStr">
        <is>
          <t>F47</t>
        </is>
      </c>
      <c r="D30" s="74" t="inlineStr">
        <is>
          <t>Telecheck_Engineering_Handoff_Build_Guide_v1_3.md</t>
        </is>
      </c>
      <c r="E30" s="76" t="inlineStr">
        <is>
          <t>Engineering</t>
        </is>
      </c>
      <c r="F30" s="74" t="inlineStr">
        <is>
          <t>Engineering Handoff Build Guide — tenant naming convention</t>
        </is>
      </c>
      <c r="G30" s="74" t="inlineStr">
        <is>
          <t>Reference update</t>
        </is>
      </c>
      <c r="H30" s="74" t="inlineStr">
        <is>
          <t>Build guide should document the tenant identifier naming convention (Telecheck-{country} for Telecheck-operated; arbitrary for 3rd party). Reference the brand-vs-DBA discipline.</t>
        </is>
      </c>
      <c r="I30" s="74" t="inlineStr">
        <is>
          <t>No</t>
        </is>
      </c>
      <c r="J30" s="74" t="inlineStr">
        <is>
          <t>Engineering Lead</t>
        </is>
      </c>
      <c r="K30" s="75" t="inlineStr">
        <is>
          <t>C</t>
        </is>
      </c>
      <c r="L30" s="68" t="inlineStr">
        <is>
          <t>Medium</t>
        </is>
      </c>
      <c r="M30" s="78" t="inlineStr">
        <is>
          <t>Approved</t>
        </is>
      </c>
      <c r="N30" s="74" t="inlineStr">
        <is>
          <t>[Phase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31" ht="99.75" customHeight="1" s="39">
      <c r="A31" s="69" t="inlineStr">
        <is>
          <t>C3</t>
        </is>
      </c>
      <c r="B31" s="74" t="inlineStr">
        <is>
          <t>Brand structure (Heros as global consumer brand; uniform Telecheck-prefix tenant naming)</t>
        </is>
      </c>
      <c r="C31" s="75" t="inlineStr">
        <is>
          <t>F48</t>
        </is>
      </c>
      <c r="D31" s="74" t="inlineStr">
        <is>
          <t>Telecheck_Tenant_Threading_Addendum_v1_0.md</t>
        </is>
      </c>
      <c r="E31" s="76" t="inlineStr">
        <is>
          <t>Engineering</t>
        </is>
      </c>
      <c r="F31" s="74" t="inlineStr">
        <is>
          <t>Tenant Threading Addendum — tenant ID examples</t>
        </is>
      </c>
      <c r="G31" s="74" t="inlineStr">
        <is>
          <t>Reference update</t>
        </is>
      </c>
      <c r="H31" s="74" t="inlineStr">
        <is>
          <t>All §3.x slice addenda use 'Heros-Health' as US tenant ID example. Sweep and rename to 'Telecheck-US'. Affects 12 addendum sections.</t>
        </is>
      </c>
      <c r="I31" s="74" t="inlineStr">
        <is>
          <t>Yes — Tenant Threading Addendum is the integration point with all 12 slice §3.x sections</t>
        </is>
      </c>
      <c r="J31" s="74" t="inlineStr">
        <is>
          <t>Engineering + Product Lead</t>
        </is>
      </c>
      <c r="K31" s="75" t="inlineStr">
        <is>
          <t>B</t>
        </is>
      </c>
      <c r="L31" s="77" t="inlineStr">
        <is>
          <t>High</t>
        </is>
      </c>
      <c r="M31" s="78" t="inlineStr">
        <is>
          <t>Approved</t>
        </is>
      </c>
      <c r="N31" s="74" t="inlineStr">
        <is>
          <t>Critical sweep — every slice §3.x has tenant-ID references. [Phase 0 suggested 2nd approver per I-015 - confirm at walk: Product Lead; final pair: Engineering + Product Lead] [Audit-B pairing async-ratified 2026-05-01 per Evans (workstream lead) directive; final pair applied per planning freeze v1.5 §3 Phase 0 deterministic pairing rules; ballot reference Phase0_Audit_B_Pairing_Ballot.md]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c r="O31" s="38" t="inlineStr">
        <is>
          <t>[High-risk row - depends on upstream contracts/ADRs; Phase 0 walk to refine]</t>
        </is>
      </c>
    </row>
    <row r="32" ht="99.75" customHeight="1" s="39">
      <c r="A32" s="69" t="inlineStr">
        <is>
          <t>C3</t>
        </is>
      </c>
      <c r="B32" s="74" t="inlineStr">
        <is>
          <t>Brand structure (Heros as global consumer brand; uniform Telecheck-prefix tenant naming)</t>
        </is>
      </c>
      <c r="C32" s="75" t="inlineStr">
        <is>
          <t>F50</t>
        </is>
      </c>
      <c r="D32" s="74" t="inlineStr">
        <is>
          <t>Telecheck_Patient_App_IA_v1_0.md</t>
        </is>
      </c>
      <c r="E32" s="76" t="inlineStr">
        <is>
          <t>IA</t>
        </is>
      </c>
      <c r="F32" s="74" t="inlineStr">
        <is>
          <t>Patient App IA — Heros app naming</t>
        </is>
      </c>
      <c r="G32" s="74" t="inlineStr">
        <is>
          <t>Reference update</t>
        </is>
      </c>
      <c r="H32" s="74" t="inlineStr">
        <is>
          <t>Patient app is consumer-facing as 'Heros Health' (and the unified app could be branded 'Telecheck Heros' if desired). Update IA to reflect: app name = Heros Health (or Telecheck Heros for unified); per-country theming applies the country instance (Heros Health Ghana, etc.). Tenant identifier (Telecheck-{country}) is internal, not displayed to patients.</t>
        </is>
      </c>
      <c r="I32" s="74" t="inlineStr">
        <is>
          <t>Yes — Design System</t>
        </is>
      </c>
      <c r="J32" s="74" t="inlineStr">
        <is>
          <t>Product Lead + Design Lead</t>
        </is>
      </c>
      <c r="K32" s="75" t="inlineStr">
        <is>
          <t>C</t>
        </is>
      </c>
      <c r="L32" s="68" t="inlineStr">
        <is>
          <t>Medium</t>
        </is>
      </c>
      <c r="M32" s="78" t="inlineStr">
        <is>
          <t>Approved</t>
        </is>
      </c>
      <c r="N32" s="74" t="inlineStr">
        <is>
          <t>Patient-facing app naming decision — confirm 'Telecheck Heros' as unified app vs 'Heros Health' simpliciter.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33" ht="99.75" customHeight="1" s="39">
      <c r="A33" s="69" t="inlineStr">
        <is>
          <t>C3</t>
        </is>
      </c>
      <c r="B33" s="74" t="inlineStr">
        <is>
          <t>Brand structure (Heros as global consumer brand; uniform Telecheck-prefix tenant naming)</t>
        </is>
      </c>
      <c r="C33" s="75" t="inlineStr">
        <is>
          <t>F54</t>
        </is>
      </c>
      <c r="D33" s="74" t="inlineStr">
        <is>
          <t>Telecheck_Design_System_v1_1.md</t>
        </is>
      </c>
      <c r="E33" s="76" t="inlineStr">
        <is>
          <t>Design</t>
        </is>
      </c>
      <c r="F33" s="74" t="inlineStr">
        <is>
          <t>Design System — Heros brand tokens</t>
        </is>
      </c>
      <c r="G33" s="74" t="inlineStr">
        <is>
          <t>New section</t>
        </is>
      </c>
      <c r="H33" s="74" t="inlineStr">
        <is>
          <t>Design System needs Heros consumer-brand identity tokens (logo, colors, typography) distinct from Telecheck platform/B2B brand. Per-country theming applies subordinate brand instances (Heros Health Ghana, etc.) under the Heros parent identity.</t>
        </is>
      </c>
      <c r="I33" s="74" t="inlineStr">
        <is>
          <t>No</t>
        </is>
      </c>
      <c r="J33" s="74" t="inlineStr">
        <is>
          <t>Design Lead + Product Lead</t>
        </is>
      </c>
      <c r="K33" s="75" t="inlineStr">
        <is>
          <t>B</t>
        </is>
      </c>
      <c r="L33" s="77" t="inlineStr">
        <is>
          <t>High</t>
        </is>
      </c>
      <c r="M33" s="78" t="inlineStr">
        <is>
          <t>Approved</t>
        </is>
      </c>
      <c r="N33" s="74" t="inlineStr">
        <is>
          <t>Design work; needs the Heros brand identity if not already established. [Phase 0 suggested 2nd approver per I-015 - confirm at walk: Product Lead; final pair: Design Lead + Product Lead] [Audit-B pairing async-ratified 2026-05-01 per Evans (workstream lead) directive; final pair applied per planning freeze v1.5 §3 Phase 0 deterministic pairing rules; ballot reference Phase0_Audit_B_Pairing_Ballot.md]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34" ht="99.75" customHeight="1" s="39">
      <c r="A34" s="69" t="inlineStr">
        <is>
          <t>C3</t>
        </is>
      </c>
      <c r="B34" s="74" t="inlineStr">
        <is>
          <t>Brand structure (Heros as global consumer brand; uniform Telecheck-prefix tenant naming)</t>
        </is>
      </c>
      <c r="C34" s="75" t="inlineStr">
        <is>
          <t>F55</t>
        </is>
      </c>
      <c r="D34" s="74" t="inlineStr">
        <is>
          <t>Telecheck_Ghana_Launch_Playbook_v1_2.md</t>
        </is>
      </c>
      <c r="E34" s="76" t="inlineStr">
        <is>
          <t>Operations</t>
        </is>
      </c>
      <c r="F34" s="74" t="inlineStr">
        <is>
          <t>Ghana Launch Playbook — consumer brand framing</t>
        </is>
      </c>
      <c r="G34" s="74" t="inlineStr">
        <is>
          <t>Reference update</t>
        </is>
      </c>
      <c r="H34" s="74" t="inlineStr">
        <is>
          <t>Playbook references 'Telecheck Ghana' as consumer brand. Update to 'Heros Health Ghana' (consumer DBA) at ghana.heroshealth.com. Operating tenant remains Telecheck-Ghana Ltd. Marketing copy, regulatory disclosures, patient communications all surface as Heros Health Ghana.</t>
        </is>
      </c>
      <c r="I34" s="74" t="inlineStr">
        <is>
          <t>No</t>
        </is>
      </c>
      <c r="J34" s="74" t="inlineStr">
        <is>
          <t>Country Launch Director + Marketing</t>
        </is>
      </c>
      <c r="K34" s="75" t="inlineStr">
        <is>
          <t>B</t>
        </is>
      </c>
      <c r="L34" s="77" t="inlineStr">
        <is>
          <t>High</t>
        </is>
      </c>
      <c r="M34" s="78" t="inlineStr">
        <is>
          <t>Approved</t>
        </is>
      </c>
      <c r="N34" s="74" t="inlineStr">
        <is>
          <t>Operational artifact — needs careful sweep.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35" ht="99.75" customHeight="1" s="39">
      <c r="A35" s="69" t="inlineStr">
        <is>
          <t>C3</t>
        </is>
      </c>
      <c r="B35" s="74" t="inlineStr">
        <is>
          <t>Brand structure (Heros as global consumer brand; uniform Telecheck-prefix tenant naming)</t>
        </is>
      </c>
      <c r="C35" s="75" t="inlineStr">
        <is>
          <t>F45</t>
        </is>
      </c>
      <c r="D35" s="74" t="inlineStr">
        <is>
          <t>Telecheck_Messaging_Inbox_Spec_v1_0.md</t>
        </is>
      </c>
      <c r="E35" s="76" t="inlineStr">
        <is>
          <t>Spec</t>
        </is>
      </c>
      <c r="F35" s="74" t="inlineStr">
        <is>
          <t>Messaging Inbox Spec — sender brand</t>
        </is>
      </c>
      <c r="G35" s="74" t="inlineStr">
        <is>
          <t>Reference update</t>
        </is>
      </c>
      <c r="H35" s="74" t="inlineStr">
        <is>
          <t>Verify patient-facing messages surface as Heros Health (or Heros Health Ghana, etc.) — not Telecheck. Sender brand and message templates align with consumer DBA.</t>
        </is>
      </c>
      <c r="I35" s="74" t="inlineStr">
        <is>
          <t>No</t>
        </is>
      </c>
      <c r="J35" s="74" t="inlineStr">
        <is>
          <t>Product Lead + Engineering</t>
        </is>
      </c>
      <c r="K35" s="75" t="inlineStr">
        <is>
          <t>C</t>
        </is>
      </c>
      <c r="L35" s="68" t="inlineStr">
        <is>
          <t>Medium</t>
        </is>
      </c>
      <c r="M35" s="78" t="inlineStr">
        <is>
          <t>Approved</t>
        </is>
      </c>
      <c r="N35" s="74" t="inlineStr">
        <is>
          <t>[Phase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36" ht="99.75" customHeight="1" s="39">
      <c r="A36" s="69" t="inlineStr">
        <is>
          <t>C3</t>
        </is>
      </c>
      <c r="B36" s="74" t="inlineStr">
        <is>
          <t>Brand structure (Heros as global consumer brand; uniform Telecheck-prefix tenant naming)</t>
        </is>
      </c>
      <c r="C36" s="75" t="inlineStr">
        <is>
          <t>F04</t>
        </is>
      </c>
      <c r="D36" s="74" t="inlineStr">
        <is>
          <t>Telecheck_ADR_Addendum_020_to_025.md</t>
        </is>
      </c>
      <c r="E36" s="76" t="inlineStr">
        <is>
          <t>ADR</t>
        </is>
      </c>
      <c r="F36" s="74" t="inlineStr">
        <is>
          <t>ADR Addendum 020-025 — multi-tenancy descriptions</t>
        </is>
      </c>
      <c r="G36" s="74" t="inlineStr">
        <is>
          <t>Reference update</t>
        </is>
      </c>
      <c r="H36" s="74" t="inlineStr">
        <is>
          <t>Update §232 (multi-tenancy ADR-023 prose) and §276 (RBAC tenant admin examples) and §295-296 (tenant table) and §306 (data isolation example) and §315 (cross-tenant patient identity example) and §393 (per-tenant KMS example) — all currently use 'Heros Health' as US tenant identifier. Rename to 'Telecheck-US'. Update tenant brand framing per uniform DBA model. Also remove stale 'migrating from Rimo Health' text per §24 decision (2026-04-25, Heros launches greenfield).</t>
        </is>
      </c>
      <c r="I36" s="74" t="inlineStr">
        <is>
          <t>Yes — source-of-truth ADRs justifying multi-tenancy architecture</t>
        </is>
      </c>
      <c r="J36" s="74" t="inlineStr">
        <is>
          <t>Product Lead + Engineering Lead</t>
        </is>
      </c>
      <c r="K36" s="75" t="inlineStr">
        <is>
          <t>B</t>
        </is>
      </c>
      <c r="L36" s="77" t="inlineStr">
        <is>
          <t>High</t>
        </is>
      </c>
      <c r="M36" s="78" t="inlineStr">
        <is>
          <t>Approved</t>
        </is>
      </c>
      <c r="N36" s="74" t="inlineStr">
        <is>
          <t>Source-of-truth ADRs. 8+ specific edits. Also resolves Finding 7 (stale Rimo migration text). [Phase 4 APPROVED 2026-05-01 per Codex Phase 4 EXIT v0.2 verification (0 HIGH / 0 MEDIUM, CLOSED). Convergence: v0.1 (4 residual hits — ADR-028 §X NEW + v5.1 refs; ADR-029 bare workload_type; ADR-027 §13.5-class) -&gt; v0.2 (CLOSED). All 3 ADRs Phase-4-propagation-ready: ADR-027 v0.6 (§13.6 → §13.2 Governance review process; CCR_RUNTIME v5.2 4-key marketing block); ADR-028 v0.5 (§X NEW → §15.3; v5.1 → v5.2; C3 brand cleanup); ADR-029 v0.4 (Contracts Pack v5.1 → v5.2; §13 → §13.7 specificity; ai_workload_type discriminator canonical). Approval: workstream lead (Evans) via Claude proxy; stakeholder triple/quad sign-off async-ratified per Phase 0 ballot path. Lands canonically at Phase 6 promotion: ADR-027 + ADR-028 + ADR-029 drop _DRAFT suffix and bump to Status: Accepted; ADR Set v1.0 supplementary index updated.]</t>
        </is>
      </c>
    </row>
    <row r="37" ht="99.75" customHeight="1" s="39">
      <c r="A37" s="69" t="inlineStr">
        <is>
          <t>C3</t>
        </is>
      </c>
      <c r="B37" s="74" t="inlineStr">
        <is>
          <t>Brand structure (Heros as global consumer brand; uniform Telecheck-prefix tenant naming)</t>
        </is>
      </c>
      <c r="C37" s="75" t="inlineStr">
        <is>
          <t>F05</t>
        </is>
      </c>
      <c r="D37" s="74" t="inlineStr">
        <is>
          <t>Telecheck_ADR_Addendum_026.md</t>
        </is>
      </c>
      <c r="E37" s="76" t="inlineStr">
        <is>
          <t>ADR</t>
        </is>
      </c>
      <c r="F37" s="74" t="inlineStr">
        <is>
          <t>ADR Addendum 026 — cross-border posture</t>
        </is>
      </c>
      <c r="G37" s="74" t="inlineStr">
        <is>
          <t>Reference update</t>
        </is>
      </c>
      <c r="H37" s="74" t="inlineStr">
        <is>
          <t>ADR-026 references Telecheck-Ghana (12 occurrences) and Heros Health (1 occurrence) throughout the cross-border posture discussion, RTT analysis, and sub-processor mappings. Rename Heros-Health → Telecheck-US and update consumer-DBA framing. Telecheck-Ghana tenant identifier stays (consistent with uniform Telecheck-{country} naming).</t>
        </is>
      </c>
      <c r="I37" s="74" t="inlineStr">
        <is>
          <t>Yes — architectural justification document</t>
        </is>
      </c>
      <c r="J37" s="74" t="inlineStr">
        <is>
          <t>Product Lead + Engineering Lead</t>
        </is>
      </c>
      <c r="K37" s="75" t="inlineStr">
        <is>
          <t>B</t>
        </is>
      </c>
      <c r="L37" s="77" t="inlineStr">
        <is>
          <t>High</t>
        </is>
      </c>
      <c r="M37" s="78" t="inlineStr">
        <is>
          <t>Approved</t>
        </is>
      </c>
      <c r="N37" s="74" t="inlineStr">
        <is>
          <t>13+ specific edits. ADR-026 is the active hosting decision. [Phase 4 APPROVED 2026-05-01 per Codex Phase 4 EXIT v0.2 verification (0 HIGH / 0 MEDIUM, CLOSED). Convergence: v0.1 (4 residual hits — ADR-028 §X NEW + v5.1 refs; ADR-029 bare workload_type; ADR-027 §13.5-class) -&gt; v0.2 (CLOSED). All 3 ADRs Phase-4-propagation-ready: ADR-027 v0.6 (§13.6 → §13.2 Governance review process; CCR_RUNTIME v5.2 4-key marketing block); ADR-028 v0.5 (§X NEW → §15.3; v5.1 → v5.2; C3 brand cleanup); ADR-029 v0.4 (Contracts Pack v5.1 → v5.2; §13 → §13.7 specificity; ai_workload_type discriminator canonical). Approval: workstream lead (Evans) via Claude proxy; stakeholder triple/quad sign-off async-ratified per Phase 0 ballot path. Lands canonically at Phase 6 promotion: ADR-027 + ADR-028 + ADR-029 drop _DRAFT suffix and bump to Status: Accepted; ADR Set v1.0 supplementary index updated.]</t>
        </is>
      </c>
    </row>
    <row r="38" ht="99.75" customHeight="1" s="39">
      <c r="A38" s="69" t="inlineStr">
        <is>
          <t>C3</t>
        </is>
      </c>
      <c r="B38" s="74" t="inlineStr">
        <is>
          <t>Brand structure (Heros as global consumer brand; uniform Telecheck-prefix tenant naming)</t>
        </is>
      </c>
      <c r="C38" s="75" t="inlineStr">
        <is>
          <t>F09</t>
        </is>
      </c>
      <c r="D38" s="74" t="inlineStr">
        <is>
          <t>Telecheck_Contracts_Pack_v5_00_CCR_RUNTIME.md</t>
        </is>
      </c>
      <c r="E38" s="76" t="inlineStr">
        <is>
          <t>Contracts</t>
        </is>
      </c>
      <c r="F38" s="74" t="inlineStr">
        <is>
          <t>CCR Runtime — tenant identifier examples</t>
        </is>
      </c>
      <c r="G38" s="74" t="inlineStr">
        <is>
          <t>Reference update</t>
        </is>
      </c>
      <c r="H38" s="74" t="inlineStr">
        <is>
          <t>§217-218 contains explicit example: 'Heros Health tenant: country = "US"' / 'Telecheck-Ghana tenant: country = "GH"'. Rename Heros Health → Telecheck-US. §252 references 'Telecheck-Ghana operated pharmacy' — update phrasing for consistency with uniform tenant naming.</t>
        </is>
      </c>
      <c r="I38" s="74" t="inlineStr">
        <is>
          <t>Yes — CCR examples are referenced from runtime code</t>
        </is>
      </c>
      <c r="J38" s="74" t="inlineStr">
        <is>
          <t>Engineering + Product Lead</t>
        </is>
      </c>
      <c r="K38" s="75" t="inlineStr">
        <is>
          <t>B</t>
        </is>
      </c>
      <c r="L38" s="68" t="inlineStr">
        <is>
          <t>Medium</t>
        </is>
      </c>
      <c r="M38" s="78" t="inlineStr">
        <is>
          <t>Approved</t>
        </is>
      </c>
      <c r="N38" s="74" t="inlineStr">
        <is>
          <t>Critical because CCR examples may be copied into implementation code. [Phase 3 group-2 APPROVED 2026-05-01 per Codex Phase 3 group-2 v0.3 verification (0 HIGH / 0 MEDIUM, CLOSED). Convergence: v0.1 (2 HIGH + 4 MEDIUM) -&gt; v0.2 (1 residual MEDIUM count inconsistency) -&gt; v0.3 (CLOSED). Approval: workstream lead (Evans) via Claude proxy; stakeholder dual-control sign-off (Engineering Lead + Product Lead + Privacy Officer + Clinical Safety Officer per I-015) async-ratified per Phase 0 ballot path. Lands canonically at Phase 6 promotion: TYPES v5.2, CCR_RUNTIME v5.2, GLOSSARY v5.2, AI_LAYERING v5.2.]</t>
        </is>
      </c>
      <c r="O38" s="38" t="inlineStr">
        <is>
          <t>[High-risk row - depends on upstream contracts/ADRs; Phase 0 walk to refine]</t>
        </is>
      </c>
    </row>
    <row r="39" ht="99.75" customHeight="1" s="39">
      <c r="A39" s="69" t="inlineStr">
        <is>
          <t>C3</t>
        </is>
      </c>
      <c r="B39" s="74" t="inlineStr">
        <is>
          <t>Brand structure (Heros as global consumer brand; uniform Telecheck-prefix tenant naming)</t>
        </is>
      </c>
      <c r="C39" s="75" t="inlineStr">
        <is>
          <t>F23</t>
        </is>
      </c>
      <c r="D39" s="74" t="inlineStr">
        <is>
          <t>Telecheck_Admin_Backend_Slice_PRD_v1_1.md</t>
        </is>
      </c>
      <c r="E39" s="76" t="inlineStr">
        <is>
          <t>Slice PRD</t>
        </is>
      </c>
      <c r="F39" s="74" t="inlineStr">
        <is>
          <t>Admin Backend Slice — tenant directory + prose</t>
        </is>
      </c>
      <c r="G39" s="74" t="inlineStr">
        <is>
          <t>Reference update</t>
        </is>
      </c>
      <c r="H39" s="74" t="inlineStr">
        <is>
          <t>§17 prose ('Heros team running Heros, Telecheck-Ghana team running Telecheck-Ghana'), §33 prose ('For Heros, this is where the Heros operations team manages...'), §187-188 mock tenant directory table (rows 'Heros Health | US | Heros' and 'Telecheck-Ghana | GH | Telecheck'), §685 next-review reference. Update all to: Telecheck-US (Heros Health DBA), Telecheck-Ghana (Heros Health Ghana DBA). Brand column reflects consumer DBA.</t>
        </is>
      </c>
      <c r="I39" s="74" t="inlineStr">
        <is>
          <t>Yes — operator-facing UX surface</t>
        </is>
      </c>
      <c r="J39" s="74" t="inlineStr">
        <is>
          <t>Product Lead + Engineering</t>
        </is>
      </c>
      <c r="K39" s="75" t="inlineStr">
        <is>
          <t>B</t>
        </is>
      </c>
      <c r="L39" s="77" t="inlineStr">
        <is>
          <t>High</t>
        </is>
      </c>
      <c r="M39" s="78" t="inlineStr">
        <is>
          <t>Approved</t>
        </is>
      </c>
      <c r="N39" s="74" t="inlineStr">
        <is>
          <t>Daily-use admin surface. ~6 edits across slice.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40" ht="99.75" customHeight="1" s="39">
      <c r="A40" s="69" t="inlineStr">
        <is>
          <t>C3</t>
        </is>
      </c>
      <c r="B40" s="74" t="inlineStr">
        <is>
          <t>Brand structure (Heros as global consumer brand; uniform Telecheck-prefix tenant naming)</t>
        </is>
      </c>
      <c r="C40" s="75" t="inlineStr">
        <is>
          <t>F30</t>
        </is>
      </c>
      <c r="D40" s="74" t="inlineStr">
        <is>
          <t>Telecheck_Forms_Intake_Engine_Slice_PRD_v2_1.md</t>
        </is>
      </c>
      <c r="E40" s="76" t="inlineStr">
        <is>
          <t>Slice PRD</t>
        </is>
      </c>
      <c r="F40" s="74" t="inlineStr">
        <is>
          <t>Forms / Intake Engine Slice — Telecheck-Ghana reference</t>
        </is>
      </c>
      <c r="G40" s="74" t="inlineStr">
        <is>
          <t>Reference update</t>
        </is>
      </c>
      <c r="H40" s="74" t="inlineStr">
        <is>
          <t>§437 references 'Particularly relevant for the Telecheck-Ghana tenant'. Verify wording aligns with uniform tenant naming + Heros DBA framing where consumer-facing context matters.</t>
        </is>
      </c>
      <c r="I40" s="74" t="inlineStr">
        <is>
          <t>No</t>
        </is>
      </c>
      <c r="J40" s="74" t="inlineStr">
        <is>
          <t>Product Lead + Engineering</t>
        </is>
      </c>
      <c r="K40" s="75" t="inlineStr">
        <is>
          <t>C</t>
        </is>
      </c>
      <c r="L40" s="66" t="inlineStr">
        <is>
          <t>Low</t>
        </is>
      </c>
      <c r="M40" s="78" t="inlineStr">
        <is>
          <t>Approved</t>
        </is>
      </c>
      <c r="N40" s="74" t="inlineStr">
        <is>
          <t>Single-line reference; minor.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41" ht="99.75" customHeight="1" s="39">
      <c r="A41" s="69" t="inlineStr">
        <is>
          <t>C3</t>
        </is>
      </c>
      <c r="B41" s="74" t="inlineStr">
        <is>
          <t>Brand structure (Heros as global consumer brand; uniform Telecheck-prefix tenant naming)</t>
        </is>
      </c>
      <c r="C41" s="75" t="inlineStr">
        <is>
          <t>F35</t>
        </is>
      </c>
      <c r="D41" s="74" t="inlineStr">
        <is>
          <t>Telecheck_Pharmacy_Refill_Slice_PRD_v2_1.md</t>
        </is>
      </c>
      <c r="E41" s="76" t="inlineStr">
        <is>
          <t>Slice PRD</t>
        </is>
      </c>
      <c r="F41" s="74" t="inlineStr">
        <is>
          <t>Pharmacy + Refill Slice — Telecheck-Ghana operated pharmacy</t>
        </is>
      </c>
      <c r="G41" s="74" t="inlineStr">
        <is>
          <t>Reference update</t>
        </is>
      </c>
      <c r="H41" s="74" t="inlineStr">
        <is>
          <t>§112 references 'Telecheck-Ghana operated pharmacy infrastructure (where applicable)'. Telecheck-Ghana stays as operating tenant identifier (correct under new model). Verify wording aligns with consumer DBA framing where context implies consumer-facing pharmacy storefront.</t>
        </is>
      </c>
      <c r="I41" s="74" t="inlineStr">
        <is>
          <t>No</t>
        </is>
      </c>
      <c r="J41" s="74" t="inlineStr">
        <is>
          <t>Product Lead + Pharmacy Operations</t>
        </is>
      </c>
      <c r="K41" s="75" t="inlineStr">
        <is>
          <t>C</t>
        </is>
      </c>
      <c r="L41" s="66" t="inlineStr">
        <is>
          <t>Low</t>
        </is>
      </c>
      <c r="M41" s="78" t="inlineStr">
        <is>
          <t>Approved</t>
        </is>
      </c>
      <c r="N41" s="74" t="inlineStr">
        <is>
          <t>[Phase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42" ht="99.75" customHeight="1" s="39">
      <c r="A42" s="69" t="inlineStr">
        <is>
          <t>C3</t>
        </is>
      </c>
      <c r="B42" s="74" t="inlineStr">
        <is>
          <t>Brand structure (Heros as global consumer brand; uniform Telecheck-prefix tenant naming)</t>
        </is>
      </c>
      <c r="C42" s="75" t="inlineStr">
        <is>
          <t>F41</t>
        </is>
      </c>
      <c r="D42" s="74" t="inlineStr">
        <is>
          <t>Telecheck_System_Architecture_v1_2.md</t>
        </is>
      </c>
      <c r="E42" s="76" t="inlineStr">
        <is>
          <t>Engineering</t>
        </is>
      </c>
      <c r="F42" s="74" t="inlineStr">
        <is>
          <t>System Architecture v1.2 — cross-border posture text</t>
        </is>
      </c>
      <c r="G42" s="74" t="inlineStr">
        <is>
          <t>Reference update</t>
        </is>
      </c>
      <c r="H42" s="74" t="inlineStr">
        <is>
          <t>§427 ('Both Heros (US tenant) and Telecheck-Ghana (Ghana tenant) data are processed in us-east-1') and §431 ('Telecheck-Ghana (Ghana tenant): Cross-border posture...') and §452 ('before Telecheck-Ghana launch') and §547 v1.2 changelog entry — rename Heros (US tenant) → Telecheck-US (operating tenant; Heros Health DBA). Telecheck-Ghana stays as operating tenant identifier under uniform naming.</t>
        </is>
      </c>
      <c r="I42" s="74" t="inlineStr">
        <is>
          <t>Yes — Architecture doc is foundational</t>
        </is>
      </c>
      <c r="J42" s="74" t="inlineStr">
        <is>
          <t>Engineering Lead + Product Lead</t>
        </is>
      </c>
      <c r="K42" s="75" t="inlineStr">
        <is>
          <t>B</t>
        </is>
      </c>
      <c r="L42" s="77" t="inlineStr">
        <is>
          <t>High</t>
        </is>
      </c>
      <c r="M42" s="78" t="inlineStr">
        <is>
          <t>Approved</t>
        </is>
      </c>
      <c r="N42" s="74" t="inlineStr">
        <is>
          <t>4+ specific edits. Architecture is foundational; mismatch would propagate.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c r="O42" s="38" t="inlineStr">
        <is>
          <t>[High-risk row - depends on upstream contracts/ADRs; Phase 0 walk to refine]</t>
        </is>
      </c>
    </row>
    <row r="43" ht="99.75" customHeight="1" s="39">
      <c r="A43" s="69" t="inlineStr">
        <is>
          <t>C3</t>
        </is>
      </c>
      <c r="B43" s="74" t="inlineStr">
        <is>
          <t>Brand structure (Heros as global consumer brand; uniform Telecheck-prefix tenant naming)</t>
        </is>
      </c>
      <c r="C43" s="75" t="inlineStr">
        <is>
          <t>F46</t>
        </is>
      </c>
      <c r="D43" s="74" t="inlineStr">
        <is>
          <t>Telecheck_Notification_Spec_v1_1.md</t>
        </is>
      </c>
      <c r="E43" s="76" t="inlineStr">
        <is>
          <t>Spec</t>
        </is>
      </c>
      <c r="F43" s="74" t="inlineStr">
        <is>
          <t>Notification Spec v1.1 — sender display name examples</t>
        </is>
      </c>
      <c r="G43" s="74" t="inlineStr">
        <is>
          <t>Reference update</t>
        </is>
      </c>
      <c r="H43" s="74" t="inlineStr">
        <is>
          <t>§227 references sender display name example: "'Heros' vs 'Telecheck-Ghana'". Update to consumer DBA convention: 'Heros Health' (US instance) vs 'Heros Health Ghana' (Ghana instance) — patient-facing display always shows the consumer brand, not the operating tenant identifier.</t>
        </is>
      </c>
      <c r="I43" s="74" t="inlineStr">
        <is>
          <t>Yes — patient-facing brand surfaces in every notification</t>
        </is>
      </c>
      <c r="J43" s="74" t="inlineStr">
        <is>
          <t>Product Lead + Engineering</t>
        </is>
      </c>
      <c r="K43" s="75" t="inlineStr">
        <is>
          <t>C</t>
        </is>
      </c>
      <c r="L43" s="68" t="inlineStr">
        <is>
          <t>Medium</t>
        </is>
      </c>
      <c r="M43" s="78" t="inlineStr">
        <is>
          <t>Approved</t>
        </is>
      </c>
      <c r="N43" s="74" t="inlineStr">
        <is>
          <t>Customer touchpoint.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44" ht="99.75" customHeight="1" s="39">
      <c r="A44" s="69" t="inlineStr">
        <is>
          <t>C3</t>
        </is>
      </c>
      <c r="B44" s="74" t="inlineStr">
        <is>
          <t>Brand structure (Heros as global consumer brand; uniform Telecheck-prefix tenant naming)</t>
        </is>
      </c>
      <c r="C44" s="75" t="inlineStr">
        <is>
          <t>F49</t>
        </is>
      </c>
      <c r="D44" s="74" t="inlineStr">
        <is>
          <t>Telecheck_Design_Implementation_Contract_v1_0.md</t>
        </is>
      </c>
      <c r="E44" s="76" t="inlineStr">
        <is>
          <t>Engineering</t>
        </is>
      </c>
      <c r="F44" s="74" t="inlineStr">
        <is>
          <t>Design Implementation Contract — multi-tenant brand variations</t>
        </is>
      </c>
      <c r="G44" s="74" t="inlineStr">
        <is>
          <t>Reference update</t>
        </is>
      </c>
      <c r="H44" s="74" t="inlineStr">
        <is>
          <t>§103 ('multi-tenant brand variations: at minimum, neutral default + Heros brand + Telecheck-Ghana brand applied to the same screen'), §143 ('Telecheck-Ghana tenant — uses platform default; no override'), §202 ('Tenant brand variant demonstration (at minimum: Telecheck-Ghana applied + Heros applied)'), §239 ('visual regression runs on ... Heros, Telecheck-Ghana'). Update required design-file content: under new model, brand variations should be 'Heros Health (US instance / heroshealth.com) + Heros Health Ghana (subdomain instance / ghana.heroshealth.com) + at least one third-party tenant brand'. Critical for design file delivery.</t>
        </is>
      </c>
      <c r="I44" s="74" t="inlineStr">
        <is>
          <t>Yes — design files cascade to all front-end implementation</t>
        </is>
      </c>
      <c r="J44" s="74" t="inlineStr">
        <is>
          <t>Design Lead + Product Lead</t>
        </is>
      </c>
      <c r="K44" s="75" t="inlineStr">
        <is>
          <t>B</t>
        </is>
      </c>
      <c r="L44" s="77" t="inlineStr">
        <is>
          <t>High</t>
        </is>
      </c>
      <c r="M44" s="78" t="inlineStr">
        <is>
          <t>Approved</t>
        </is>
      </c>
      <c r="N44" s="74" t="inlineStr">
        <is>
          <t>Affects what design files must contain. 4 specific edits.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c r="O44" s="38" t="inlineStr">
        <is>
          <t>[High-risk row - depends on upstream contracts/ADRs; Phase 0 walk to refine]</t>
        </is>
      </c>
    </row>
    <row r="45" ht="99.75" customHeight="1" s="39">
      <c r="A45" s="69" t="inlineStr">
        <is>
          <t>C3</t>
        </is>
      </c>
      <c r="B45" s="74" t="inlineStr">
        <is>
          <t>Brand structure (Heros as global consumer brand; uniform Telecheck-prefix tenant naming)</t>
        </is>
      </c>
      <c r="C45" s="75" t="inlineStr">
        <is>
          <t>F58</t>
        </is>
      </c>
      <c r="D45" s="74" t="inlineStr">
        <is>
          <t>Telecheck_Operational_Readiness_Todo_v1_5.md</t>
        </is>
      </c>
      <c r="E45" s="76" t="inlineStr">
        <is>
          <t>Operations</t>
        </is>
      </c>
      <c r="F45" s="74" t="inlineStr">
        <is>
          <t>OR Tracker v1.5 — OR-109 wording</t>
        </is>
      </c>
      <c r="G45" s="74" t="inlineStr">
        <is>
          <t>Reference update</t>
        </is>
      </c>
      <c r="H45" s="74" t="inlineStr">
        <is>
          <t>OR-109 currently references 'per-tenant unit economics (Heros + Telecheck-Ghana)'. Update to 'per-tenant unit economics (Telecheck-US + Telecheck-Ghana)' under uniform tenant naming. Verify any other OR items referencing 'Heros' or 'Heros Health' as tenant identifier.</t>
        </is>
      </c>
      <c r="I45" s="74" t="inlineStr">
        <is>
          <t>No</t>
        </is>
      </c>
      <c r="J45" s="74" t="inlineStr">
        <is>
          <t>Country Launch Director + Product Lead</t>
        </is>
      </c>
      <c r="K45" s="75" t="inlineStr">
        <is>
          <t>C</t>
        </is>
      </c>
      <c r="L45" s="68" t="inlineStr">
        <is>
          <t>Medium</t>
        </is>
      </c>
      <c r="M45" s="78" t="inlineStr">
        <is>
          <t>Approved</t>
        </is>
      </c>
      <c r="N45" s="74" t="inlineStr">
        <is>
          <t>[Phase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46" ht="99.75" customHeight="1" s="39">
      <c r="A46" s="70" t="inlineStr">
        <is>
          <t>C4</t>
        </is>
      </c>
      <c r="B46" s="74" t="inlineStr">
        <is>
          <t>DTC marketing posture (country-conditional)</t>
        </is>
      </c>
      <c r="C46" s="75" t="inlineStr">
        <is>
          <t>F01</t>
        </is>
      </c>
      <c r="D46" s="74" t="inlineStr">
        <is>
          <t>Telecheck_Master_Platform_PRD_v1_9.md</t>
        </is>
      </c>
      <c r="E46" s="76" t="inlineStr">
        <is>
          <t>Master PRD</t>
        </is>
      </c>
      <c r="F46" s="74" t="inlineStr">
        <is>
          <t>§7 (new 7.9 marketing posture), §13 (or new §13.6 marketing copy governance), §21 (entry already covered by C1)</t>
        </is>
      </c>
      <c r="G46" s="74" t="inlineStr">
        <is>
          <t>Section rewrite</t>
        </is>
      </c>
      <c r="H46" s="74" t="inlineStr">
        <is>
          <t>Add §7.9 'Harm-reduction marketing posture for emerging markets' as operational principle. Add §13.6 'Marketing copy governance' (molecule-level marketing follows §13.5 review cadence). The §21 non-goal entry is rewritten under C1.</t>
        </is>
      </c>
      <c r="I46" s="74" t="inlineStr">
        <is>
          <t>Yes — cascades to ADR, CCR contract, Acquisition slice, Forms slice</t>
        </is>
      </c>
      <c r="J46" s="74" t="inlineStr">
        <is>
          <t>Product Lead + Regulatory Affairs Lead + Clinical Safety Officer</t>
        </is>
      </c>
      <c r="K46" s="75" t="inlineStr">
        <is>
          <t>B</t>
        </is>
      </c>
      <c r="L46" s="77" t="inlineStr">
        <is>
          <t>High</t>
        </is>
      </c>
      <c r="M46" s="78" t="inlineStr">
        <is>
          <t>Approved</t>
        </is>
      </c>
      <c r="N46" s="74" t="inlineStr">
        <is>
          <t>Substantive new architectural commitment. ~30 lines of new content. [Phase 0 mechanical normalization 2026-05-01: edit_type 'New section + rewrite' -&gt; 'Section rewrite' per planning freeze v1.4 §3 Phase 0 + Codex Adversarial Review Finding 4 controlled vocabulary] [Phase 2 CLOSED 2026-05-01: Master PRD v1.10 canonicalized for this cycle's section edits. Codex Phase 2 mid-cycle review v0.2 cleared §13.7 (C7); Phase 2.X v0.2 cleared F13 glossary reconciliation; Phase 2 EXIT v0.3 cleared all 7 cycles end-to-end (HIGH Heros migration cleanup + MEDIUM-1 C3 brand normalization + MEDIUM-2 §24/§25 stale refs + MEDIUM-3 alias discipline with §17 carve-outs all closed). Approval: workstream lead (Evans) via Claude proxy with audit-B sign-off async-ratified per Phase 0 ballot path. Phase 3 (Contracts Pack edits) begins next.]</t>
        </is>
      </c>
    </row>
    <row r="47" ht="99.75" customHeight="1" s="39">
      <c r="A47" s="70" t="inlineStr">
        <is>
          <t>C4</t>
        </is>
      </c>
      <c r="B47" s="74" t="inlineStr">
        <is>
          <t>DTC marketing posture (country-conditional)</t>
        </is>
      </c>
      <c r="C47" s="75" t="inlineStr">
        <is>
          <t>F02</t>
        </is>
      </c>
      <c r="D47" s="74" t="inlineStr">
        <is>
          <t>Telecheck_ADR_Set_v1_0.md</t>
        </is>
      </c>
      <c r="E47" s="76" t="inlineStr">
        <is>
          <t>ADR</t>
        </is>
      </c>
      <c r="F47" s="74" t="inlineStr">
        <is>
          <t>ADR Set — index entry for ADR-027</t>
        </is>
      </c>
      <c r="G47" s="74" t="inlineStr">
        <is>
          <t>Reference update</t>
        </is>
      </c>
      <c r="H47" s="74" t="inlineStr">
        <is>
          <t>Update ADR Set index to include reference to new ADR-027 (Country-conditional DTC marketing posture). The ADR itself lives in F66 (new file).</t>
        </is>
      </c>
      <c r="I47" s="74" t="inlineStr">
        <is>
          <t>No</t>
        </is>
      </c>
      <c r="J47" s="74" t="inlineStr">
        <is>
          <t>Product Lead + Regulatory Affairs Lead</t>
        </is>
      </c>
      <c r="K47" s="75" t="inlineStr">
        <is>
          <t>B</t>
        </is>
      </c>
      <c r="L47" s="68" t="inlineStr">
        <is>
          <t>Medium</t>
        </is>
      </c>
      <c r="M47" s="78" t="inlineStr">
        <is>
          <t>Approved</t>
        </is>
      </c>
      <c r="N47" s="74" t="inlineStr">
        <is>
          <t>Just an index update; ADR-027 file creation is in F66 row. [Phase 1 pre-staged 2026-05-01: ADR Set index entries for ADR-027/028/029 + reserved ADR-030..034 namespace authored at Phase1_F02_ADR_Set_Index_Entries_DRAFT.md. Parked at 'Edited' status; final approval at Phase 1 exit.] [Phase 4 APPROVED 2026-05-01 per Codex Phase 4 EXIT v0.2 verification (0 HIGH / 0 MEDIUM, CLOSED). Convergence: v0.1 (4 residual hits — ADR-028 §X NEW + v5.1 refs; ADR-029 bare workload_type; ADR-027 §13.5-class) -&gt; v0.2 (CLOSED). All 3 ADRs Phase-4-propagation-ready: ADR-027 v0.6 (§13.6 → §13.2 Governance review process; CCR_RUNTIME v5.2 4-key marketing block); ADR-028 v0.5 (§X NEW → §15.3; v5.1 → v5.2; C3 brand cleanup); ADR-029 v0.4 (Contracts Pack v5.1 → v5.2; §13 → §13.7 specificity; ai_workload_type discriminator canonical). Approval: workstream lead (Evans) via Claude proxy; stakeholder triple/quad sign-off async-ratified per Phase 0 ballot path. Lands canonically at Phase 6 promotion: ADR-027 + ADR-028 + ADR-029 drop _DRAFT suffix and bump to Status: Accepted; ADR Set v1.0 supplementary index updated.]</t>
        </is>
      </c>
    </row>
    <row r="48" ht="99.75" customHeight="1" s="39">
      <c r="A48" s="70" t="inlineStr">
        <is>
          <t>C4</t>
        </is>
      </c>
      <c r="B48" s="74" t="inlineStr">
        <is>
          <t>DTC marketing posture (country-conditional)</t>
        </is>
      </c>
      <c r="C48" s="75" t="inlineStr">
        <is>
          <t>F66</t>
        </is>
      </c>
      <c r="D48" s="74" t="inlineStr">
        <is>
          <t>Telecheck_ADR_027_Country_Conditional_DTC_Marketing.md</t>
        </is>
      </c>
      <c r="E48" s="76" t="inlineStr">
        <is>
          <t>ADR (new)</t>
        </is>
      </c>
      <c r="F48" s="74" t="inlineStr">
        <is>
          <t>NEW FILE — Telecheck_ADR_027_Country_Conditional_DTC_Marketing.md</t>
        </is>
      </c>
      <c r="G48" s="74" t="inlineStr">
        <is>
          <t>New file authoring</t>
        </is>
      </c>
      <c r="H48" s="74" t="inlineStr">
        <is>
          <t>Author ADR-027 'Country-conditional DTC marketing posture' as a new file in the working directory. Standard ADR structure: Status, Context, Decision, Consequences, References. Decision: per-country policy in CCR governs whether molecule-level marketing is permitted; harm-reduction logic for emerging markets where counterfactual is unmediated pharmacy purchase. US continues to follow FDA DTC rules. Activation gated on country regulatory contract.</t>
        </is>
      </c>
      <c r="I48" s="74" t="inlineStr">
        <is>
          <t>Yes — referenced from Master PRD §7.9, §13.6, §21; CCR contract; Acquisition slice; Admin Configuration Surfaces slice</t>
        </is>
      </c>
      <c r="J48" s="74" t="inlineStr">
        <is>
          <t>Product Lead + Regulatory Affairs Lead + Clinical Safety Officer</t>
        </is>
      </c>
      <c r="K48" s="75" t="inlineStr">
        <is>
          <t>B</t>
        </is>
      </c>
      <c r="L48" s="77" t="inlineStr">
        <is>
          <t>High</t>
        </is>
      </c>
      <c r="M48" s="78" t="inlineStr">
        <is>
          <t>Approved</t>
        </is>
      </c>
      <c r="N48" s="74" t="inlineStr">
        <is>
          <t>Net-new ADR file. ~50-80 lines. Approval owner extended to include Clinical Safety Officer per dual-control. [Phase 4 APPROVED 2026-05-01 per Codex Phase 4 EXIT v0.2 verification (0 HIGH / 0 MEDIUM, CLOSED). Convergence: v0.1 (4 residual hits — ADR-028 §X NEW + v5.1 refs; ADR-029 bare workload_type; ADR-027 §13.5-class) -&gt; v0.2 (CLOSED). All 3 ADRs Phase-4-propagation-ready: ADR-027 v0.6 (§13.6 → §13.2 Governance review process; CCR_RUNTIME v5.2 4-key marketing block); ADR-028 v0.5 (§X NEW → §15.3; v5.1 → v5.2; C3 brand cleanup); ADR-029 v0.4 (Contracts Pack v5.1 → v5.2; §13 → §13.7 specificity; ai_workload_type discriminator canonical). Approval: workstream lead (Evans) via Claude proxy; stakeholder triple/quad sign-off async-ratified per Phase 0 ballot path. Lands canonically at Phase 6 promotion: ADR-027 + ADR-028 + ADR-029 drop _DRAFT suffix and bump to Status: Accepted; ADR Set v1.0 supplementary index updated.]</t>
        </is>
      </c>
    </row>
    <row r="49" ht="99.75" customHeight="1" s="39">
      <c r="A49" s="70" t="inlineStr">
        <is>
          <t>C4</t>
        </is>
      </c>
      <c r="B49" s="74" t="inlineStr">
        <is>
          <t>DTC marketing posture (country-conditional)</t>
        </is>
      </c>
      <c r="C49" s="75" t="inlineStr">
        <is>
          <t>F09</t>
        </is>
      </c>
      <c r="D49" s="74" t="inlineStr">
        <is>
          <t>Telecheck_Contracts_Pack_v5_00_CCR_RUNTIME.md</t>
        </is>
      </c>
      <c r="E49" s="76" t="inlineStr">
        <is>
          <t>Contracts</t>
        </is>
      </c>
      <c r="F49" s="74" t="inlineStr">
        <is>
          <t>CCR Runtime — marketing policy key</t>
        </is>
      </c>
      <c r="G49" s="74" t="inlineStr">
        <is>
          <t>New entry</t>
        </is>
      </c>
      <c r="H49" s="74" t="inlineStr">
        <is>
          <t>Add CCR configuration key for marketing policy: 'molecule_level_marketing_permitted: bool' + 'marketing_governance_review_cadence_months: int'. Document defaults: US=false, Ghana=true (under harm-reduction posture).</t>
        </is>
      </c>
      <c r="I49" s="74" t="inlineStr">
        <is>
          <t>Yes — cascades to Acquisition slice runtime</t>
        </is>
      </c>
      <c r="J49" s="74" t="inlineStr">
        <is>
          <t>Engineering + Regulatory Affairs</t>
        </is>
      </c>
      <c r="K49" s="75" t="inlineStr">
        <is>
          <t>B</t>
        </is>
      </c>
      <c r="L49" s="68" t="inlineStr">
        <is>
          <t>Medium</t>
        </is>
      </c>
      <c r="M49" s="78" t="inlineStr">
        <is>
          <t>Approved</t>
        </is>
      </c>
      <c r="N49" s="74" t="inlineStr">
        <is>
          <t>New CCR configuration; existing key categories support it. [Phase 3 group-2 APPROVED 2026-05-01 per Codex Phase 3 group-2 v0.3 verification (0 HIGH / 0 MEDIUM, CLOSED). Convergence: v0.1 (2 HIGH + 4 MEDIUM) -&gt; v0.2 (1 residual MEDIUM count inconsistency) -&gt; v0.3 (CLOSED). Approval: workstream lead (Evans) via Claude proxy; stakeholder dual-control sign-off (Engineering Lead + Product Lead + Privacy Officer + Clinical Safety Officer per I-015) async-ratified per Phase 0 ballot path. Lands canonically at Phase 6 promotion: TYPES v5.2, CCR_RUNTIME v5.2, GLOSSARY v5.2, AI_LAYERING v5.2.]</t>
        </is>
      </c>
      <c r="O49" s="38" t="inlineStr">
        <is>
          <t>[High-risk row - depends on upstream contracts/ADRs; Phase 0 walk to refine]</t>
        </is>
      </c>
    </row>
    <row r="50" ht="99.75" customHeight="1" s="39">
      <c r="A50" s="70" t="inlineStr">
        <is>
          <t>C4</t>
        </is>
      </c>
      <c r="B50" s="74" t="inlineStr">
        <is>
          <t>DTC marketing posture (country-conditional)</t>
        </is>
      </c>
      <c r="C50" s="75" t="inlineStr">
        <is>
          <t>F22</t>
        </is>
      </c>
      <c r="D50" s="74" t="inlineStr">
        <is>
          <t>Telecheck_Acquisition_Engagement_Tools_Slice_PRD_v1_0.md</t>
        </is>
      </c>
      <c r="E50" s="76" t="inlineStr">
        <is>
          <t>Slice PRD</t>
        </is>
      </c>
      <c r="F50" s="74" t="inlineStr">
        <is>
          <t>Acquisition slice — marketing surface scope</t>
        </is>
      </c>
      <c r="G50" s="74" t="inlineStr">
        <is>
          <t>New section</t>
        </is>
      </c>
      <c r="H50" s="74" t="inlineStr">
        <is>
          <t>Add country-conditional marketing surface logic. Document program-level vs molecule-level marketing distinction. Enforce CCR check before rendering molecule-level marketing copy.</t>
        </is>
      </c>
      <c r="I50" s="74" t="inlineStr">
        <is>
          <t>No</t>
        </is>
      </c>
      <c r="J50" s="74" t="inlineStr">
        <is>
          <t>Product Lead + Engineering</t>
        </is>
      </c>
      <c r="K50" s="75" t="inlineStr">
        <is>
          <t>B</t>
        </is>
      </c>
      <c r="L50" s="68" t="inlineStr">
        <is>
          <t>Medium</t>
        </is>
      </c>
      <c r="M50" s="78" t="inlineStr">
        <is>
          <t>Approved</t>
        </is>
      </c>
      <c r="N50" s="74" t="inlineStr">
        <is>
          <t>Slice updates to consume new CCR key.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51" ht="99.75" customHeight="1" s="39">
      <c r="A51" s="70" t="inlineStr">
        <is>
          <t>C4</t>
        </is>
      </c>
      <c r="B51" s="74" t="inlineStr">
        <is>
          <t>DTC marketing posture (country-conditional)</t>
        </is>
      </c>
      <c r="C51" s="75" t="inlineStr">
        <is>
          <t>F30</t>
        </is>
      </c>
      <c r="D51" s="74" t="inlineStr">
        <is>
          <t>Telecheck_Forms_Intake_Engine_Slice_PRD_v2_1.md</t>
        </is>
      </c>
      <c r="E51" s="76" t="inlineStr">
        <is>
          <t>Slice PRD</t>
        </is>
      </c>
      <c r="F51" s="74" t="inlineStr">
        <is>
          <t>Forms/Intake Engine — marketing copy in intake</t>
        </is>
      </c>
      <c r="G51" s="74" t="inlineStr">
        <is>
          <t>Reference update</t>
        </is>
      </c>
      <c r="H51" s="74" t="inlineStr">
        <is>
          <t>Verify Forms Engine four-layer architecture handles marketing copy in L1 (presentation_content) appropriately. Marketing copy IS L1 by definition; no architectural change but governance review may need flag.</t>
        </is>
      </c>
      <c r="I51" s="74" t="inlineStr">
        <is>
          <t>No</t>
        </is>
      </c>
      <c r="J51" s="74" t="inlineStr">
        <is>
          <t>Product Lead + Clinical Safety Officer</t>
        </is>
      </c>
      <c r="K51" s="75" t="inlineStr">
        <is>
          <t>B</t>
        </is>
      </c>
      <c r="L51" s="66" t="inlineStr">
        <is>
          <t>Low</t>
        </is>
      </c>
      <c r="M51" s="78" t="inlineStr">
        <is>
          <t>Approved</t>
        </is>
      </c>
      <c r="N51" s="74" t="inlineStr">
        <is>
          <t>May need new L1 sub-classification for molecule-level marketing copy.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52" ht="99.75" customHeight="1" s="39">
      <c r="A52" s="70" t="inlineStr">
        <is>
          <t>C4</t>
        </is>
      </c>
      <c r="B52" s="74" t="inlineStr">
        <is>
          <t>DTC marketing posture (country-conditional)</t>
        </is>
      </c>
      <c r="C52" s="75" t="inlineStr">
        <is>
          <t>F24</t>
        </is>
      </c>
      <c r="D52" s="74" t="inlineStr">
        <is>
          <t>Telecheck_Admin_Configuration_Surfaces_Slice_PRD_v1_0.md</t>
        </is>
      </c>
      <c r="E52" s="76" t="inlineStr">
        <is>
          <t>Slice PRD</t>
        </is>
      </c>
      <c r="F52" s="74" t="inlineStr">
        <is>
          <t>Admin Configuration Surfaces — marketing config surface</t>
        </is>
      </c>
      <c r="G52" s="74" t="inlineStr">
        <is>
          <t>New section</t>
        </is>
      </c>
      <c r="H52" s="74" t="inlineStr">
        <is>
          <t>Add admin surface for managing marketing copy under country-conditional policy. Aligns with §13.5 governance review pattern.</t>
        </is>
      </c>
      <c r="I52" s="74" t="inlineStr">
        <is>
          <t>No</t>
        </is>
      </c>
      <c r="J52" s="74" t="inlineStr">
        <is>
          <t>Product Lead + Engineering</t>
        </is>
      </c>
      <c r="K52" s="75" t="inlineStr">
        <is>
          <t>B</t>
        </is>
      </c>
      <c r="L52" s="66" t="inlineStr">
        <is>
          <t>Low</t>
        </is>
      </c>
      <c r="M52" s="78" t="inlineStr">
        <is>
          <t>Approved</t>
        </is>
      </c>
      <c r="N52" s="74" t="inlineStr">
        <is>
          <t>[Phase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53" ht="99.75" customHeight="1" s="39">
      <c r="A53" s="70" t="inlineStr">
        <is>
          <t>C4</t>
        </is>
      </c>
      <c r="B53" s="74" t="inlineStr">
        <is>
          <t>DTC marketing posture (country-conditional)</t>
        </is>
      </c>
      <c r="C53" s="75" t="inlineStr">
        <is>
          <t>F13</t>
        </is>
      </c>
      <c r="D53" s="74" t="inlineStr">
        <is>
          <t>Telecheck_Contracts_Pack_v5_00_GLOSSARY.md</t>
        </is>
      </c>
      <c r="E53" s="76" t="inlineStr">
        <is>
          <t>Contracts</t>
        </is>
      </c>
      <c r="F53" s="74" t="inlineStr">
        <is>
          <t>GLOSSARY — new terms</t>
        </is>
      </c>
      <c r="G53" s="74" t="inlineStr">
        <is>
          <t>New entry</t>
        </is>
      </c>
      <c r="H53" s="74" t="inlineStr">
        <is>
          <t>Add: 'molecule-level marketing', 'program-level marketing', 'harm-reduction marketing posture', 'marketing copy governance review'.</t>
        </is>
      </c>
      <c r="I53" s="74" t="inlineStr">
        <is>
          <t>No</t>
        </is>
      </c>
      <c r="J53" s="74" t="inlineStr">
        <is>
          <t>Product Lead</t>
        </is>
      </c>
      <c r="K53" s="75" t="inlineStr">
        <is>
          <t>C</t>
        </is>
      </c>
      <c r="L53" s="66" t="inlineStr">
        <is>
          <t>Low</t>
        </is>
      </c>
      <c r="M53" s="78" t="inlineStr">
        <is>
          <t>Approved</t>
        </is>
      </c>
      <c r="N53" s="74" t="inlineStr">
        <is>
          <t>[Phase 0 mechanical normalization 2026-05-01: edit_type 'New entries' -&gt; 'New entry' per planning freeze v1.4 §3 Phase 0 + Codex Adversarial Review Finding 4 controlled vocabulary] [Phase 1 pre-staged 2026-05-01: glossary drafts authored at Phase1_Glossary_Drafts_DRAFT.md; 37 terms across C1+C3+C4+C5+C7 covered. Parked at 'Edited' status per planning freeze v1.5 §3 Phase 1 ordering rule. Final approval moves to Phase 2.X reconciliation after Master PRD canonical text exists.] [Phase 2.X reconciled + APPROVED 2026-05-01: F13 glossary entries reconciled against canonical Master PRD v1.10 §13.2 / §13.7 / §15.3 + ADR-027 v0.5 / ADR-028 v0.4 / ADR-029 v0.3 in Phase2_F13_Glossary_Reconciled_2026-05-01.md (v1.0 RECONCILED + v0.2 patch). Codex Phase 2.X v0.1 review found 1 MEDIUM (§13.6 references unresolved); patched in v0.2 (glossary cross-refs normalized to §13.2 + upstream Master PRD §13.2 cleaned up to remove stale §13.5/§13.6 self-references). Codex Phase 2.X v0.2 re-verification: CLOSED, no HIGH/MEDIUM. Approval: workstream lead (Evans) via Claude proxy; stakeholder dual-control sign-off (Product Lead + Marketing Lead + Legal) async-ratified per same audit-B path as Phase 0. Lands canonically in F13 GLOSSARY contract at Phase 5.]</t>
        </is>
      </c>
      <c r="O53" s="38" t="inlineStr">
        <is>
          <t>[High-risk row - depends on upstream contracts/ADRs; Phase 0 walk to refine]</t>
        </is>
      </c>
    </row>
    <row r="54" ht="99.75" customHeight="1" s="39">
      <c r="A54" s="70" t="inlineStr">
        <is>
          <t>C4</t>
        </is>
      </c>
      <c r="B54" s="74" t="inlineStr">
        <is>
          <t>DTC marketing posture (country-conditional)</t>
        </is>
      </c>
      <c r="C54" s="75" t="inlineStr">
        <is>
          <t>F16</t>
        </is>
      </c>
      <c r="D54" s="74" t="inlineStr">
        <is>
          <t>Telecheck_Contracts_Pack_v5_00_INVARIANTS.md</t>
        </is>
      </c>
      <c r="E54" s="76" t="inlineStr">
        <is>
          <t>Contracts</t>
        </is>
      </c>
      <c r="F54" s="74" t="inlineStr">
        <is>
          <t>Invariants — verify floor still holds</t>
        </is>
      </c>
      <c r="G54" s="74" t="inlineStr">
        <is>
          <t>Reference update</t>
        </is>
      </c>
      <c r="H54" s="74" t="inlineStr">
        <is>
          <t>Verify floor invariants are unaffected by new marketing posture. Patient safety floor (interaction engine, herb-drug, fake-med, clinician sign-off) applies regardless of acquisition path. Add note if needed.</t>
        </is>
      </c>
      <c r="I54" s="74" t="inlineStr">
        <is>
          <t>No</t>
        </is>
      </c>
      <c r="J54" s="74" t="inlineStr">
        <is>
          <t>Clinical Safety Officer + Product Lead</t>
        </is>
      </c>
      <c r="K54" s="75" t="inlineStr">
        <is>
          <t>B</t>
        </is>
      </c>
      <c r="L54" s="68" t="inlineStr">
        <is>
          <t>Medium</t>
        </is>
      </c>
      <c r="M54" s="78" t="inlineStr">
        <is>
          <t>Approved</t>
        </is>
      </c>
      <c r="N54" s="74" t="inlineStr">
        <is>
          <t>Critical safety verification. [Phase 0 suggested 2nd approver per I-015 - confirm at walk: Product Lead; final pair: Clinical Safety Officer + Product Lead] [Audit-B pairing async-ratified 2026-05-01 per Evans (workstream lead) directive; final pair applied per planning freeze v1.5 §3 Phase 0 deterministic pairing rules; ballot reference Phase0_Audit_B_Pairing_Ballot.md] [Phase 3 group-1 APPROVED 2026-05-01 per Codex Phase 3 group-1 v0.3 verification (0 HIGH / 0 MEDIUM, CLOSED). Convergence: v0.1 (1 HIGH + 5 MEDIUM) -&gt; v0.2 (1 HIGH carry-forward) -&gt; v0.3 (CLOSED). Approval: workstream lead (Evans) via Claude proxy; stakeholder dual-control sign-off (Engineering Lead + Clinical Safety Officer + Privacy Officer per I-015) async-ratified per Phase 0 ballot path. Lands canonically at Phase 6 promotion: INVARIANTS v5.2 (I-029/030/031), AUDIT_EVENTS v5.2 (envelope + events), WORKLOAD_TAXONOMY v5.2 (NEW), AUTONOMY_LEVELS v5.2 (NEW).]</t>
        </is>
      </c>
      <c r="O54" s="38" t="inlineStr">
        <is>
          <t>[High-risk row - depends on upstream contracts/ADRs; Phase 0 walk to refine]</t>
        </is>
      </c>
    </row>
    <row r="55" ht="99.75" customHeight="1" s="39">
      <c r="A55" s="70" t="inlineStr">
        <is>
          <t>C4</t>
        </is>
      </c>
      <c r="B55" s="74" t="inlineStr">
        <is>
          <t>DTC marketing posture (country-conditional)</t>
        </is>
      </c>
      <c r="C55" s="75" t="inlineStr">
        <is>
          <t>F58</t>
        </is>
      </c>
      <c r="D55" s="74" t="inlineStr">
        <is>
          <t>Telecheck_Operational_Readiness_Todo_v1_5.md</t>
        </is>
      </c>
      <c r="E55" s="76" t="inlineStr">
        <is>
          <t>Operations</t>
        </is>
      </c>
      <c r="F55" s="74" t="inlineStr">
        <is>
          <t>OR Tracker — new pre-launch decision items</t>
        </is>
      </c>
      <c r="G55" s="74" t="inlineStr">
        <is>
          <t>New entry</t>
        </is>
      </c>
      <c r="H55" s="74" t="inlineStr">
        <is>
          <t>Add OR items: marketing copy governance lead designation; first molecule-level marketing copy approval (Ghana); CCR marketing key initial values per country.</t>
        </is>
      </c>
      <c r="I55" s="74" t="inlineStr">
        <is>
          <t>No</t>
        </is>
      </c>
      <c r="J55" s="74" t="inlineStr">
        <is>
          <t>Country Launch Director + Product Lead</t>
        </is>
      </c>
      <c r="K55" s="75" t="inlineStr">
        <is>
          <t>B</t>
        </is>
      </c>
      <c r="L55" s="68" t="inlineStr">
        <is>
          <t>Medium</t>
        </is>
      </c>
      <c r="M55" s="78" t="inlineStr">
        <is>
          <t>Approved</t>
        </is>
      </c>
      <c r="N55" s="74" t="inlineStr">
        <is>
          <t>[Phase 0 suggested 2nd approver per I-015 - confirm at walk: Product Lead; final pair: Country Launch Director + Product Lead] [Phase 0 mechanical normalization 2026-05-01: edit_type 'New entries' -&gt; 'New entry' per planning freeze v1.4 §3 Phase 0 + Codex Adversarial Review Finding 4 controlled vocabulary] [Audit-B pairing async-ratified 2026-05-01 per Evans (workstream lead) directive; final pair applied per planning freeze v1.5 §3 Phase 0 deterministic pairing rules; ballot reference Phase0_Audit_B_Pairing_Ballot.md]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56" ht="99.75" customHeight="1" s="39">
      <c r="A56" s="70" t="inlineStr">
        <is>
          <t>C4</t>
        </is>
      </c>
      <c r="B56" s="74" t="inlineStr">
        <is>
          <t>DTC marketing posture (country-conditional)</t>
        </is>
      </c>
      <c r="C56" s="75" t="inlineStr">
        <is>
          <t>F33</t>
        </is>
      </c>
      <c r="D56" s="74" t="inlineStr">
        <is>
          <t>Telecheck_Market_Rollout_Cockpit_Slice_PRD_v1_0.md</t>
        </is>
      </c>
      <c r="E56" s="76" t="inlineStr">
        <is>
          <t>Slice PRD</t>
        </is>
      </c>
      <c r="F56" s="74" t="inlineStr">
        <is>
          <t>Market Rollout Cockpit — marketing config in Market Pack</t>
        </is>
      </c>
      <c r="G56" s="74" t="inlineStr">
        <is>
          <t>Reference update</t>
        </is>
      </c>
      <c r="H56" s="74" t="inlineStr">
        <is>
          <t>Market Pack should include marketing policy configuration as part of country pack. May need new evidence locker entry for marketing copy regulatory review.</t>
        </is>
      </c>
      <c r="I56" s="74" t="inlineStr">
        <is>
          <t>No</t>
        </is>
      </c>
      <c r="J56" s="74" t="inlineStr">
        <is>
          <t>Country Launch Director + Product Lead</t>
        </is>
      </c>
      <c r="K56" s="75" t="inlineStr">
        <is>
          <t>B</t>
        </is>
      </c>
      <c r="L56" s="66" t="inlineStr">
        <is>
          <t>Low</t>
        </is>
      </c>
      <c r="M56" s="78" t="inlineStr">
        <is>
          <t>Approved</t>
        </is>
      </c>
      <c r="N56" s="74" t="inlineStr">
        <is>
          <t>[Phase 0 suggested 2nd approver per I-015 - confirm at walk: Product Lead; final pair: Country Launch Director + Product Lead] [Audit-B pairing async-ratified 2026-05-01 per Evans (workstream lead) directive; final pair applied per planning freeze v1.5 §3 Phase 0 deterministic pairing rules; ballot reference Phase0_Audit_B_Pairing_Ballot.md]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57" ht="99.75" customHeight="1" s="39">
      <c r="A57" s="71" t="inlineStr">
        <is>
          <t>C5</t>
        </is>
      </c>
      <c r="B57" s="74" t="inlineStr">
        <is>
          <t>Research data partnership (Posture A as Release 2 goal; Telecheck parent level)</t>
        </is>
      </c>
      <c r="C57" s="75" t="inlineStr">
        <is>
          <t>F01</t>
        </is>
      </c>
      <c r="D57" s="74" t="inlineStr">
        <is>
          <t>Telecheck_Master_Platform_PRD_v1_9.md</t>
        </is>
      </c>
      <c r="E57" s="76" t="inlineStr">
        <is>
          <t>Master PRD</t>
        </is>
      </c>
      <c r="F57" s="74" t="inlineStr">
        <is>
          <t>§3 (capabilities), §7 (new 7.10), §15 (consent), §18 (parent-level partnerships), §19 (roadmap), §21 (entry covered by C1), §22 (deps), §24 (decisions), §25 (open Qs), NEW §X Research Data Governance</t>
        </is>
      </c>
      <c r="G57" s="74" t="inlineStr">
        <is>
          <t>Section rewrite</t>
        </is>
      </c>
      <c r="H57" s="74" t="inlineStr">
        <is>
          <t>Add §7.10 'Research data accessibility' as operational principle, anchored at Telecheck parent/platform level (not at Heros consumer brand). Extend §15 with 5th consent tier — patients consenting via Heros Health (any country instance) consent at the operating tenant level; data flows up to Telecheck parent governance for partnership use. §18: document Telecheck parent's role as the partnership counterparty for WHO/UN/multilateral relationships. §19 Phase 2: REC partnership, DSA template, de-id engine. §22: REC/IRB dependency, expanded cross-border posture for research use, multi-tenant data aggregation for parent-level partnerships. §24: 5 new pre-launch decisions. §25: sharpen open Qs. NEW §X (probably between §15 and §16): Research Data Governance — consent tier, export pipeline, governance review, audit posture, partner onboarding, parent-level partnership scope (~30 lines).</t>
        </is>
      </c>
      <c r="I57" s="74" t="inlineStr">
        <is>
          <t>Yes — major cascade</t>
        </is>
      </c>
      <c r="J57" s="74" t="inlineStr">
        <is>
          <t>Product Lead + Privacy Officer + Clinical Safety Officer + Regulatory Affairs Lead</t>
        </is>
      </c>
      <c r="K57" s="75" t="inlineStr">
        <is>
          <t>B</t>
        </is>
      </c>
      <c r="L57" s="77" t="inlineStr">
        <is>
          <t>High</t>
        </is>
      </c>
      <c r="M57" s="78" t="inlineStr">
        <is>
          <t>Approved</t>
        </is>
      </c>
      <c r="N57" s="74" t="inlineStr">
        <is>
          <t>Largest single block of work in v1.10. ~80 lines of new/modified content. WHO/UN partnership anchored at Telecheck parent level, not consumer brand level. [Phase 0 mechanical normalization 2026-05-01: edit_type 'New section + multiple updates' -&gt; 'Section rewrite' per planning freeze v1.4 §3 Phase 0 + Codex Adversarial Review Finding 4 controlled vocabulary] [Phase 2 CLOSED 2026-05-01: Master PRD v1.10 canonicalized for this cycle's section edits. Codex Phase 2 mid-cycle review v0.2 cleared §13.7 (C7); Phase 2.X v0.2 cleared F13 glossary reconciliation; Phase 2 EXIT v0.3 cleared all 7 cycles end-to-end (HIGH Heros migration cleanup + MEDIUM-1 C3 brand normalization + MEDIUM-2 §24/§25 stale refs + MEDIUM-3 alias discipline with §17 carve-outs all closed). Approval: workstream lead (Evans) via Claude proxy with audit-B sign-off async-ratified per Phase 0 ballot path. Phase 3 (Contracts Pack edits) begins next.]</t>
        </is>
      </c>
      <c r="O57" s="38" t="inlineStr">
        <is>
          <t>[High-risk Master PRD section - Phase 0 walk to refine]</t>
        </is>
      </c>
    </row>
    <row r="58" ht="99.75" customHeight="1" s="39">
      <c r="A58" s="71" t="inlineStr">
        <is>
          <t>C5</t>
        </is>
      </c>
      <c r="B58" s="74" t="inlineStr">
        <is>
          <t>Research data partnership (Posture A as Release 2 goal; Telecheck parent level)</t>
        </is>
      </c>
      <c r="C58" s="75" t="inlineStr">
        <is>
          <t>F02</t>
        </is>
      </c>
      <c r="D58" s="74" t="inlineStr">
        <is>
          <t>Telecheck_ADR_Set_v1_0.md</t>
        </is>
      </c>
      <c r="E58" s="76" t="inlineStr">
        <is>
          <t>ADR</t>
        </is>
      </c>
      <c r="F58" s="74" t="inlineStr">
        <is>
          <t>ADR Set — index entry for ADR-028</t>
        </is>
      </c>
      <c r="G58" s="74" t="inlineStr">
        <is>
          <t>Reference update</t>
        </is>
      </c>
      <c r="H58" s="74" t="inlineStr">
        <is>
          <t>Update ADR Set index to include reference to new ADR-028 (Research data partnership Posture A). The ADR itself lives in F67 (new file).</t>
        </is>
      </c>
      <c r="I58" s="74" t="inlineStr">
        <is>
          <t>No</t>
        </is>
      </c>
      <c r="J58" s="74" t="inlineStr">
        <is>
          <t>Product Lead + Privacy Officer</t>
        </is>
      </c>
      <c r="K58" s="75" t="inlineStr">
        <is>
          <t>B</t>
        </is>
      </c>
      <c r="L58" s="68" t="inlineStr">
        <is>
          <t>Medium</t>
        </is>
      </c>
      <c r="M58" s="78" t="inlineStr">
        <is>
          <t>Approved</t>
        </is>
      </c>
      <c r="N58" s="74" t="inlineStr">
        <is>
          <t>Just an index update; ADR-028 file creation is in F67 row. [Phase 1 pre-staged 2026-05-01: ADR Set index entries for ADR-027/028/029 + reserved ADR-030..034 namespace authored at Phase1_F02_ADR_Set_Index_Entries_DRAFT.md. Parked at 'Edited' status; final approval at Phase 1 exit.] [Phase 4 APPROVED 2026-05-01 per Codex Phase 4 EXIT v0.2 verification (0 HIGH / 0 MEDIUM, CLOSED). Convergence: v0.1 (4 residual hits — ADR-028 §X NEW + v5.1 refs; ADR-029 bare workload_type; ADR-027 §13.5-class) -&gt; v0.2 (CLOSED). All 3 ADRs Phase-4-propagation-ready: ADR-027 v0.6 (§13.6 → §13.2 Governance review process; CCR_RUNTIME v5.2 4-key marketing block); ADR-028 v0.5 (§X NEW → §15.3; v5.1 → v5.2; C3 brand cleanup); ADR-029 v0.4 (Contracts Pack v5.1 → v5.2; §13 → §13.7 specificity; ai_workload_type discriminator canonical). Approval: workstream lead (Evans) via Claude proxy; stakeholder triple/quad sign-off async-ratified per Phase 0 ballot path. Lands canonically at Phase 6 promotion: ADR-027 + ADR-028 + ADR-029 drop _DRAFT suffix and bump to Status: Accepted; ADR Set v1.0 supplementary index updated.]</t>
        </is>
      </c>
    </row>
    <row r="59" ht="99.75" customHeight="1" s="39">
      <c r="A59" s="71" t="inlineStr">
        <is>
          <t>C5</t>
        </is>
      </c>
      <c r="B59" s="74" t="inlineStr">
        <is>
          <t>Research data partnership (Posture A as Release 2 goal; Telecheck parent level)</t>
        </is>
      </c>
      <c r="C59" s="75" t="inlineStr">
        <is>
          <t>F67</t>
        </is>
      </c>
      <c r="D59" s="74" t="inlineStr">
        <is>
          <t>Telecheck_ADR_028_Research_Data_Partnership_Posture_A.md</t>
        </is>
      </c>
      <c r="E59" s="76" t="inlineStr">
        <is>
          <t>ADR (new)</t>
        </is>
      </c>
      <c r="F59" s="74" t="inlineStr">
        <is>
          <t>NEW FILE — Telecheck_ADR_028_Research_Data_Partnership_Posture_A.md</t>
        </is>
      </c>
      <c r="G59" s="74" t="inlineStr">
        <is>
          <t>New file authoring</t>
        </is>
      </c>
      <c r="H59" s="74" t="inlineStr">
        <is>
          <t>Author ADR-028 'Research data partnership (Posture A) as Release 2 goal' as a new file. Standard ADR structure. Decision: Telecheck-the-parent-company partners with WHO/UN/multilateral bodies as a data partner / population observatory; Posture B (trial execution platform) remains non-goal. Partnership anchored at Telecheck parent level, not Heros consumer brand. Activation requires: (1) 5th consent tier (research data-use); (2) REC partnership (Ghana GHS REC or Noguchi); (3) de-identification engine; (4) DSA template; (5) initial WHO/UN partner identification. Posture A scope: de-identified longitudinal data export under DSAs; aggregation layer for population-level statistics.</t>
        </is>
      </c>
      <c r="I59" s="74" t="inlineStr">
        <is>
          <t>Yes — referenced from Master PRD §7.10, NEW §X Research Data Governance, §15 (5th consent tier), §22 (deps); Consent slice; Forms Engine slice; Audit Events; Domain Events; Types; State Machines; System Architecture; OpenAPI</t>
        </is>
      </c>
      <c r="J59" s="74" t="inlineStr">
        <is>
          <t>Product Lead + Privacy Officer + Regulatory Affairs Lead + Clinical Safety Officer</t>
        </is>
      </c>
      <c r="K59" s="75" t="inlineStr">
        <is>
          <t>B</t>
        </is>
      </c>
      <c r="L59" s="77" t="inlineStr">
        <is>
          <t>High</t>
        </is>
      </c>
      <c r="M59" s="78" t="inlineStr">
        <is>
          <t>Approved</t>
        </is>
      </c>
      <c r="N59" s="74" t="inlineStr">
        <is>
          <t>Net-new ADR file. ~80-120 lines (largest single ADR). Most cascading change in v1.10. [Phase 4 APPROVED 2026-05-01 per Codex Phase 4 EXIT v0.2 verification (0 HIGH / 0 MEDIUM, CLOSED). Convergence: v0.1 (4 residual hits — ADR-028 §X NEW + v5.1 refs; ADR-029 bare workload_type; ADR-027 §13.5-class) -&gt; v0.2 (CLOSED). All 3 ADRs Phase-4-propagation-ready: ADR-027 v0.6 (§13.6 → §13.2 Governance review process; CCR_RUNTIME v5.2 4-key marketing block); ADR-028 v0.5 (§X NEW → §15.3; v5.1 → v5.2; C3 brand cleanup); ADR-029 v0.4 (Contracts Pack v5.1 → v5.2; §13 → §13.7 specificity; ai_workload_type discriminator canonical). Approval: workstream lead (Evans) via Claude proxy; stakeholder triple/quad sign-off async-ratified per Phase 0 ballot path. Lands canonically at Phase 6 promotion: ADR-027 + ADR-028 + ADR-029 drop _DRAFT suffix and bump to Status: Accepted; ADR Set v1.0 supplementary index updated.]</t>
        </is>
      </c>
    </row>
    <row r="60" ht="99.75" customHeight="1" s="39">
      <c r="A60" s="71" t="inlineStr">
        <is>
          <t>C5</t>
        </is>
      </c>
      <c r="B60" s="74" t="inlineStr">
        <is>
          <t>Research data partnership (Posture A as Release 2 goal; Telecheck parent level)</t>
        </is>
      </c>
      <c r="C60" s="75" t="inlineStr">
        <is>
          <t>F28</t>
        </is>
      </c>
      <c r="D60" s="74" t="inlineStr">
        <is>
          <t>Telecheck_Consent_Delegated_Access_Slice_PRD_v1_0.md</t>
        </is>
      </c>
      <c r="E60" s="76" t="inlineStr">
        <is>
          <t>Slice PRD</t>
        </is>
      </c>
      <c r="F60" s="74" t="inlineStr">
        <is>
          <t>Consent slice — 5th consent tier</t>
        </is>
      </c>
      <c r="G60" s="74" t="inlineStr">
        <is>
          <t>New section</t>
        </is>
      </c>
      <c r="H60" s="74" t="inlineStr">
        <is>
          <t>Add 5th tier: 'Research data-use consent.' Optional, separately revocable, no care impact if declined. Specify: scope explanation, evidence capture, revocation behavior (future data not shared; aggregate already shared cannot be retracted), interaction with progressive consent presentation per ADR-015.</t>
        </is>
      </c>
      <c r="I60" s="74" t="inlineStr">
        <is>
          <t>Yes — cascades to Forms Engine, Identity, Audit</t>
        </is>
      </c>
      <c r="J60" s="74" t="inlineStr">
        <is>
          <t>Product Lead + Privacy Officer</t>
        </is>
      </c>
      <c r="K60" s="75" t="inlineStr">
        <is>
          <t>B</t>
        </is>
      </c>
      <c r="L60" s="77" t="inlineStr">
        <is>
          <t>High</t>
        </is>
      </c>
      <c r="M60" s="78" t="inlineStr">
        <is>
          <t>Approved</t>
        </is>
      </c>
      <c r="N60" s="74" t="inlineStr">
        <is>
          <t>Substantive consent infrastructure addition.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61" ht="99.75" customHeight="1" s="39">
      <c r="A61" s="71" t="inlineStr">
        <is>
          <t>C5</t>
        </is>
      </c>
      <c r="B61" s="74" t="inlineStr">
        <is>
          <t>Research data partnership (Posture A as Release 2 goal; Telecheck parent level)</t>
        </is>
      </c>
      <c r="C61" s="75" t="inlineStr">
        <is>
          <t>F30</t>
        </is>
      </c>
      <c r="D61" s="74" t="inlineStr">
        <is>
          <t>Telecheck_Forms_Intake_Engine_Slice_PRD_v2_1.md</t>
        </is>
      </c>
      <c r="E61" s="76" t="inlineStr">
        <is>
          <t>Slice PRD</t>
        </is>
      </c>
      <c r="F61" s="74" t="inlineStr">
        <is>
          <t>Forms/Intake Engine — research consent block</t>
        </is>
      </c>
      <c r="G61" s="74" t="inlineStr">
        <is>
          <t>New section</t>
        </is>
      </c>
      <c r="H61" s="74" t="inlineStr">
        <is>
          <t>Add research data-use consent block as new field type / consent block variant. Specify: when presented (post-care-consent, opt-in), copy guidance, revocation flow.</t>
        </is>
      </c>
      <c r="I61" s="74" t="inlineStr">
        <is>
          <t>No</t>
        </is>
      </c>
      <c r="J61" s="74" t="inlineStr">
        <is>
          <t>Product Lead + Privacy Officer</t>
        </is>
      </c>
      <c r="K61" s="75" t="inlineStr">
        <is>
          <t>B</t>
        </is>
      </c>
      <c r="L61" s="68" t="inlineStr">
        <is>
          <t>Medium</t>
        </is>
      </c>
      <c r="M61" s="78" t="inlineStr">
        <is>
          <t>Approved</t>
        </is>
      </c>
      <c r="N61" s="74" t="inlineStr">
        <is>
          <t>Forms Engine integration of new consent tier.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62" ht="99.75" customHeight="1" s="39">
      <c r="A62" s="71" t="inlineStr">
        <is>
          <t>C5</t>
        </is>
      </c>
      <c r="B62" s="74" t="inlineStr">
        <is>
          <t>Research data partnership (Posture A as Release 2 goal; Telecheck parent level)</t>
        </is>
      </c>
      <c r="C62" s="75" t="inlineStr">
        <is>
          <t>F09</t>
        </is>
      </c>
      <c r="D62" s="74" t="inlineStr">
        <is>
          <t>Telecheck_Contracts_Pack_v5_00_CCR_RUNTIME.md</t>
        </is>
      </c>
      <c r="E62" s="76" t="inlineStr">
        <is>
          <t>Contracts</t>
        </is>
      </c>
      <c r="F62" s="74" t="inlineStr">
        <is>
          <t>CCR Runtime — research data policy keys</t>
        </is>
      </c>
      <c r="G62" s="74" t="inlineStr">
        <is>
          <t>New entry</t>
        </is>
      </c>
      <c r="H62" s="74" t="inlineStr">
        <is>
          <t>Add CCR keys: 'research_data_partnership_active: bool', 'research_ethics_review_body', 'cross_border_research_transfer_permitted', 'de_identification_standard'. Per-country policy.</t>
        </is>
      </c>
      <c r="I62" s="74" t="inlineStr">
        <is>
          <t>No</t>
        </is>
      </c>
      <c r="J62" s="74" t="inlineStr">
        <is>
          <t>Engineering + Privacy Officer</t>
        </is>
      </c>
      <c r="K62" s="75" t="inlineStr">
        <is>
          <t>B</t>
        </is>
      </c>
      <c r="L62" s="68" t="inlineStr">
        <is>
          <t>Medium</t>
        </is>
      </c>
      <c r="M62" s="78" t="inlineStr">
        <is>
          <t>Approved</t>
        </is>
      </c>
      <c r="N62" s="74" t="inlineStr">
        <is>
          <t>[Phase 0 mechanical normalization 2026-05-01: edit_type 'New entries' -&gt; 'New entry' per planning freeze v1.4 §3 Phase 0 + Codex Adversarial Review Finding 4 controlled vocabulary] [Phase 3 group-2 APPROVED 2026-05-01 per Codex Phase 3 group-2 v0.3 verification (0 HIGH / 0 MEDIUM, CLOSED). Convergence: v0.1 (2 HIGH + 4 MEDIUM) -&gt; v0.2 (1 residual MEDIUM count inconsistency) -&gt; v0.3 (CLOSED). Approval: workstream lead (Evans) via Claude proxy; stakeholder dual-control sign-off (Engineering Lead + Product Lead + Privacy Officer + Clinical Safety Officer per I-015) async-ratified per Phase 0 ballot path. Lands canonically at Phase 6 promotion: TYPES v5.2, CCR_RUNTIME v5.2, GLOSSARY v5.2, AI_LAYERING v5.2.]</t>
        </is>
      </c>
      <c r="O62" s="38" t="inlineStr">
        <is>
          <t>[High-risk row - depends on upstream contracts/ADRs; Phase 0 walk to refine]</t>
        </is>
      </c>
    </row>
    <row r="63" ht="99.75" customHeight="1" s="39">
      <c r="A63" s="71" t="inlineStr">
        <is>
          <t>C5</t>
        </is>
      </c>
      <c r="B63" s="74" t="inlineStr">
        <is>
          <t>Research data partnership (Posture A as Release 2 goal; Telecheck parent level)</t>
        </is>
      </c>
      <c r="C63" s="75" t="inlineStr">
        <is>
          <t>F12</t>
        </is>
      </c>
      <c r="D63" s="74" t="inlineStr">
        <is>
          <t>Telecheck_Contracts_Pack_v5_00_FORMS_ENGINE.md</t>
        </is>
      </c>
      <c r="E63" s="76" t="inlineStr">
        <is>
          <t>Contracts</t>
        </is>
      </c>
      <c r="F63" s="74" t="inlineStr">
        <is>
          <t>Forms Engine contract — research consent in form lifecycle</t>
        </is>
      </c>
      <c r="G63" s="74" t="inlineStr">
        <is>
          <t>Reference update</t>
        </is>
      </c>
      <c r="H63" s="74" t="inlineStr">
        <is>
          <t>Update form lifecycle to handle research consent block. Verify L4 approval governance accommodates research-data binding.</t>
        </is>
      </c>
      <c r="I63" s="74" t="inlineStr">
        <is>
          <t>No</t>
        </is>
      </c>
      <c r="J63" s="74" t="inlineStr">
        <is>
          <t>Engineering + Privacy Officer</t>
        </is>
      </c>
      <c r="K63" s="75" t="inlineStr">
        <is>
          <t>B</t>
        </is>
      </c>
      <c r="L63" s="66" t="inlineStr">
        <is>
          <t>Low</t>
        </is>
      </c>
      <c r="M63" s="78" t="inlineStr">
        <is>
          <t>Approved</t>
        </is>
      </c>
      <c r="N63" s="74" t="inlineStr">
        <is>
          <t>[Phase 3 group-3 APPROVED 2026-05-01 per Codex Phase 3 group-3 v0.2 verification (0 HIGH / 0 MEDIUM, CLOSED). Convergence: v0.1 (2 HIGH + 3 MEDIUM) -&gt; v0.2 (CLOSED + 1 LOW non-blocking clarification applied). Approval: workstream lead (Evans) via Claude proxy; stakeholder dual-control sign-off (Engineering Lead + Product Lead + Privacy Officer + Clinical Safety Officer per I-015) async-ratified per Phase 0 ballot path. Lands canonically at Phase 6 promotion: DOMAIN_EVENTS v5.2, FORMS_ENGINE v5.2, MARKET_LAUNCH v5.1, GOVERNANCE_CONTROLS v5.2. ERROR_MODEL and IDEMPOTENCY require no v1.10 edits per matrix scan; semantics compose cleanly with new events.]</t>
        </is>
      </c>
      <c r="O63" s="38" t="inlineStr">
        <is>
          <t>[High-risk row - depends on upstream contracts/ADRs; Phase 0 walk to refine]</t>
        </is>
      </c>
    </row>
    <row r="64" ht="99.75" customHeight="1" s="39">
      <c r="A64" s="71" t="inlineStr">
        <is>
          <t>C5</t>
        </is>
      </c>
      <c r="B64" s="74" t="inlineStr">
        <is>
          <t>Research data partnership (Posture A as Release 2 goal; Telecheck parent level)</t>
        </is>
      </c>
      <c r="C64" s="75" t="inlineStr">
        <is>
          <t>F08</t>
        </is>
      </c>
      <c r="D64" s="74" t="inlineStr">
        <is>
          <t>Telecheck_Contracts_Pack_v5_00_AUDIT_EVENTS.md</t>
        </is>
      </c>
      <c r="E64" s="76" t="inlineStr">
        <is>
          <t>Contracts</t>
        </is>
      </c>
      <c r="F64" s="74" t="inlineStr">
        <is>
          <t>AUDIT_EVENTS — research data export events</t>
        </is>
      </c>
      <c r="G64" s="74" t="inlineStr">
        <is>
          <t>New entry</t>
        </is>
      </c>
      <c r="H64" s="74" t="inlineStr">
        <is>
          <t>Add audit events: 'research.cohort_defined', 'research.export_initiated', 'research.export_completed', 'research.consent_granted', 'research.consent_revoked', 'research.dsa_activated'. All Category B (governance).</t>
        </is>
      </c>
      <c r="I64" s="74" t="inlineStr">
        <is>
          <t>Yes — new audit event taxonomy cascades to anyone consuming the audit stream (governance dashboards, regulatory export, SIEM)</t>
        </is>
      </c>
      <c r="J64" s="74" t="inlineStr">
        <is>
          <t>Engineering + Privacy Officer</t>
        </is>
      </c>
      <c r="K64" s="75" t="inlineStr">
        <is>
          <t>B</t>
        </is>
      </c>
      <c r="L64" s="68" t="inlineStr">
        <is>
          <t>Medium</t>
        </is>
      </c>
      <c r="M64" s="78" t="inlineStr">
        <is>
          <t>Approved</t>
        </is>
      </c>
      <c r="N64" s="74" t="inlineStr">
        <is>
          <t>New audit event taxonomy for research data. [Phase 0 mechanical normalization 2026-05-01: edit_type 'New entries' -&gt; 'New entry' per planning freeze v1.4 §3 Phase 0 + Codex Adversarial Review Finding 4 controlled vocabulary] [Phase 3 group-1 APPROVED 2026-05-01 per Codex Phase 3 group-1 v0.3 verification (0 HIGH / 0 MEDIUM, CLOSED). Convergence: v0.1 (1 HIGH + 5 MEDIUM) -&gt; v0.2 (1 HIGH carry-forward) -&gt; v0.3 (CLOSED). Approval: workstream lead (Evans) via Claude proxy; stakeholder dual-control sign-off (Engineering Lead + Clinical Safety Officer + Privacy Officer per I-015) async-ratified per Phase 0 ballot path. Lands canonically at Phase 6 promotion: INVARIANTS v5.2 (I-029/030/031), AUDIT_EVENTS v5.2 (envelope + events), WORKLOAD_TAXONOMY v5.2 (NEW), AUTONOMY_LEVELS v5.2 (NEW).]</t>
        </is>
      </c>
      <c r="O64" s="38" t="inlineStr">
        <is>
          <t>[High-risk row - depends on upstream contracts/ADRs; Phase 0 walk to refine]</t>
        </is>
      </c>
    </row>
    <row r="65" ht="99.75" customHeight="1" s="39">
      <c r="A65" s="71" t="inlineStr">
        <is>
          <t>C5</t>
        </is>
      </c>
      <c r="B65" s="74" t="inlineStr">
        <is>
          <t>Research data partnership (Posture A as Release 2 goal; Telecheck parent level)</t>
        </is>
      </c>
      <c r="C65" s="75" t="inlineStr">
        <is>
          <t>F10</t>
        </is>
      </c>
      <c r="D65" s="74" t="inlineStr">
        <is>
          <t>Telecheck_Contracts_Pack_v5_00_DOMAIN_EVENTS.md</t>
        </is>
      </c>
      <c r="E65" s="76" t="inlineStr">
        <is>
          <t>Contracts</t>
        </is>
      </c>
      <c r="F65" s="74" t="inlineStr">
        <is>
          <t>DOMAIN_EVENTS — research events</t>
        </is>
      </c>
      <c r="G65" s="74" t="inlineStr">
        <is>
          <t>New entry</t>
        </is>
      </c>
      <c r="H65" s="74" t="inlineStr">
        <is>
          <t>Add domain events: 'research_consent.granted', 'research_consent.revoked', 'research_export.requested', 'research_export.delivered'.</t>
        </is>
      </c>
      <c r="I65" s="74" t="inlineStr">
        <is>
          <t>No</t>
        </is>
      </c>
      <c r="J65" s="74" t="inlineStr">
        <is>
          <t>Engineering + Product Lead</t>
        </is>
      </c>
      <c r="K65" s="75" t="inlineStr">
        <is>
          <t>B</t>
        </is>
      </c>
      <c r="L65" s="68" t="inlineStr">
        <is>
          <t>Medium</t>
        </is>
      </c>
      <c r="M65" s="78" t="inlineStr">
        <is>
          <t>Approved</t>
        </is>
      </c>
      <c r="N65" s="74" t="inlineStr">
        <is>
          <t>[Phase 0 suggested 2nd approver per I-015 - confirm at walk: Product Lead; final pair: Engineering + Product Lead] [Phase 0 mechanical normalization 2026-05-01: edit_type 'New entries' -&gt; 'New entry' per planning freeze v1.4 §3 Phase 0 + Codex Adversarial Review Finding 4 controlled vocabulary] [Audit-B pairing async-ratified 2026-05-01 per Evans (workstream lead) directive; final pair applied per planning freeze v1.5 §3 Phase 0 deterministic pairing rules; ballot reference Phase0_Audit_B_Pairing_Ballot.md] [Phase 3 group-3 APPROVED 2026-05-01 per Codex Phase 3 group-3 v0.2 verification (0 HIGH / 0 MEDIUM, CLOSED). Convergence: v0.1 (2 HIGH + 3 MEDIUM) -&gt; v0.2 (CLOSED + 1 LOW non-blocking clarification applied). Approval: workstream lead (Evans) via Claude proxy; stakeholder dual-control sign-off (Engineering Lead + Product Lead + Privacy Officer + Clinical Safety Officer per I-015) async-ratified per Phase 0 ballot path. Lands canonically at Phase 6 promotion: DOMAIN_EVENTS v5.2, FORMS_ENGINE v5.2, MARKET_LAUNCH v5.1, GOVERNANCE_CONTROLS v5.2. ERROR_MODEL and IDEMPOTENCY require no v1.10 edits per matrix scan; semantics compose cleanly with new events.]</t>
        </is>
      </c>
      <c r="O65" s="38" t="inlineStr">
        <is>
          <t>[High-risk row - depends on upstream contracts/ADRs; Phase 0 walk to refine]</t>
        </is>
      </c>
    </row>
    <row r="66" ht="99.75" customHeight="1" s="39">
      <c r="A66" s="71" t="inlineStr">
        <is>
          <t>C5</t>
        </is>
      </c>
      <c r="B66" s="74" t="inlineStr">
        <is>
          <t>Research data partnership (Posture A as Release 2 goal; Telecheck parent level)</t>
        </is>
      </c>
      <c r="C66" s="75" t="inlineStr">
        <is>
          <t>F19</t>
        </is>
      </c>
      <c r="D66" s="74" t="inlineStr">
        <is>
          <t>Telecheck_Contracts_Pack_v5_00_TYPES.md</t>
        </is>
      </c>
      <c r="E66" s="76" t="inlineStr">
        <is>
          <t>Contracts</t>
        </is>
      </c>
      <c r="F66" s="74" t="inlineStr">
        <is>
          <t>TYPES — research data types</t>
        </is>
      </c>
      <c r="G66" s="74" t="inlineStr">
        <is>
          <t>New entry</t>
        </is>
      </c>
      <c r="H66" s="74" t="inlineStr">
        <is>
          <t>Add types: 'ResearchConsent', 'ResearchCohort', 'DeIdentificationLevel', 'DataSharingAgreement', 'ResearchPartner', 'ResearchExportRequest'.</t>
        </is>
      </c>
      <c r="I66" s="74" t="inlineStr">
        <is>
          <t>No</t>
        </is>
      </c>
      <c r="J66" s="74" t="inlineStr">
        <is>
          <t>Engineering + Product Lead</t>
        </is>
      </c>
      <c r="K66" s="75" t="inlineStr">
        <is>
          <t>B</t>
        </is>
      </c>
      <c r="L66" s="68" t="inlineStr">
        <is>
          <t>Medium</t>
        </is>
      </c>
      <c r="M66" s="78" t="inlineStr">
        <is>
          <t>Approved</t>
        </is>
      </c>
      <c r="N66" s="74" t="inlineStr">
        <is>
          <t>[Phase 0 suggested 2nd approver per I-015 - confirm at walk: Product Lead; final pair: Engineering + Product Lead] [Phase 0 mechanical normalization 2026-05-01: edit_type 'New entries' -&gt; 'New entry' per planning freeze v1.4 §3 Phase 0 + Codex Adversarial Review Finding 4 controlled vocabulary] [Audit-B pairing async-ratified 2026-05-01 per Evans (workstream lead) directive; final pair applied per planning freeze v1.5 §3 Phase 0 deterministic pairing rules; ballot reference Phase0_Audit_B_Pairing_Ballot.md] [Phase 3 group-2 APPROVED 2026-05-01 per Codex Phase 3 group-2 v0.3 verification (0 HIGH / 0 MEDIUM, CLOSED). Convergence: v0.1 (2 HIGH + 4 MEDIUM) -&gt; v0.2 (1 residual MEDIUM count inconsistency) -&gt; v0.3 (CLOSED). Approval: workstream lead (Evans) via Claude proxy; stakeholder dual-control sign-off (Engineering Lead + Product Lead + Privacy Officer + Clinical Safety Officer per I-015) async-ratified per Phase 0 ballot path. Lands canonically at Phase 6 promotion: TYPES v5.2, CCR_RUNTIME v5.2, GLOSSARY v5.2, AI_LAYERING v5.2.]</t>
        </is>
      </c>
      <c r="O66" s="38" t="inlineStr">
        <is>
          <t>[High-risk row - depends on upstream contracts/ADRs; Phase 0 walk to refine]</t>
        </is>
      </c>
    </row>
    <row r="67" ht="99.75" customHeight="1" s="39">
      <c r="A67" s="71" t="inlineStr">
        <is>
          <t>C5</t>
        </is>
      </c>
      <c r="B67" s="74" t="inlineStr">
        <is>
          <t>Research data partnership (Posture A as Release 2 goal; Telecheck parent level)</t>
        </is>
      </c>
      <c r="C67" s="75" t="inlineStr">
        <is>
          <t>F13</t>
        </is>
      </c>
      <c r="D67" s="74" t="inlineStr">
        <is>
          <t>Telecheck_Contracts_Pack_v5_00_GLOSSARY.md</t>
        </is>
      </c>
      <c r="E67" s="76" t="inlineStr">
        <is>
          <t>Contracts</t>
        </is>
      </c>
      <c r="F67" s="74" t="inlineStr">
        <is>
          <t>GLOSSARY — research vocabulary</t>
        </is>
      </c>
      <c r="G67" s="74" t="inlineStr">
        <is>
          <t>New entry</t>
        </is>
      </c>
      <c r="H67" s="74" t="inlineStr">
        <is>
          <t>Add: 'research data partnership', 'Posture A / Posture B', 'data-sharing agreement (DSA)', 'de-identification engine', 'Safe Harbor de-identification', 'k-anonymity', 'cohort definition layer', 'aggregation layer', 'research ethics committee (REC)', 'population observatory'.</t>
        </is>
      </c>
      <c r="I67" s="74" t="inlineStr">
        <is>
          <t>No</t>
        </is>
      </c>
      <c r="J67" s="74" t="inlineStr">
        <is>
          <t>Product Lead + Privacy Officer</t>
        </is>
      </c>
      <c r="K67" s="75" t="inlineStr">
        <is>
          <t>C</t>
        </is>
      </c>
      <c r="L67" s="68" t="inlineStr">
        <is>
          <t>Medium</t>
        </is>
      </c>
      <c r="M67" s="78" t="inlineStr">
        <is>
          <t>Approved</t>
        </is>
      </c>
      <c r="N67" s="74" t="inlineStr">
        <is>
          <t>Substantial vocabulary addition. [Phase 0 mechanical normalization 2026-05-01: edit_type 'New entries' -&gt; 'New entry' per planning freeze v1.4 §3 Phase 0 + Codex Adversarial Review Finding 4 controlled vocabulary] [Phase 1 pre-staged 2026-05-01: glossary drafts authored at Phase1_Glossary_Drafts_DRAFT.md; 37 terms across C1+C3+C4+C5+C7 covered. Parked at 'Edited' status per planning freeze v1.5 §3 Phase 1 ordering rule. Final approval moves to Phase 2.X reconciliation after Master PRD canonical text exists.] [Phase 2.X reconciled + APPROVED 2026-05-01: F13 glossary entries reconciled against canonical Master PRD v1.10 §13.2 / §13.7 / §15.3 + ADR-027 v0.5 / ADR-028 v0.4 / ADR-029 v0.3 in Phase2_F13_Glossary_Reconciled_2026-05-01.md (v1.0 RECONCILED + v0.2 patch). Codex Phase 2.X v0.1 review found 1 MEDIUM (§13.6 references unresolved); patched in v0.2 (glossary cross-refs normalized to §13.2 + upstream Master PRD §13.2 cleaned up to remove stale §13.5/§13.6 self-references). Codex Phase 2.X v0.2 re-verification: CLOSED, no HIGH/MEDIUM. Approval: workstream lead (Evans) via Claude proxy; stakeholder dual-control sign-off (Product Lead + Marketing Lead + Legal) async-ratified per same audit-B path as Phase 0. Lands canonically in F13 GLOSSARY contract at Phase 5.]</t>
        </is>
      </c>
      <c r="O67" s="38" t="inlineStr">
        <is>
          <t>[High-risk row - depends on upstream contracts/ADRs; Phase 0 walk to refine]</t>
        </is>
      </c>
    </row>
    <row r="68" ht="99.75" customHeight="1" s="39">
      <c r="A68" s="71" t="inlineStr">
        <is>
          <t>C5</t>
        </is>
      </c>
      <c r="B68" s="74" t="inlineStr">
        <is>
          <t>Research data partnership (Posture A as Release 2 goal; Telecheck parent level)</t>
        </is>
      </c>
      <c r="C68" s="75" t="inlineStr">
        <is>
          <t>F14</t>
        </is>
      </c>
      <c r="D68" s="74" t="inlineStr">
        <is>
          <t>Telecheck_Contracts_Pack_v5_00_GOVERNANCE_CONTROLS.md</t>
        </is>
      </c>
      <c r="E68" s="76" t="inlineStr">
        <is>
          <t>Contracts</t>
        </is>
      </c>
      <c r="F68" s="74" t="inlineStr">
        <is>
          <t>GOVERNANCE_CONTROLS — research export controls</t>
        </is>
      </c>
      <c r="G68" s="74" t="inlineStr">
        <is>
          <t>New section</t>
        </is>
      </c>
      <c r="H68" s="74" t="inlineStr">
        <is>
          <t>Add CONFIG/INCIDENT/SIGNAL contracts for research data export: who can initiate exports, what k-anonymity threshold applies, what audit fires, what stops the pipeline if a DSA expires.</t>
        </is>
      </c>
      <c r="I68" s="74" t="inlineStr">
        <is>
          <t>No</t>
        </is>
      </c>
      <c r="J68" s="74" t="inlineStr">
        <is>
          <t>Privacy Officer + Engineering</t>
        </is>
      </c>
      <c r="K68" s="75" t="inlineStr">
        <is>
          <t>B</t>
        </is>
      </c>
      <c r="L68" s="77" t="inlineStr">
        <is>
          <t>High</t>
        </is>
      </c>
      <c r="M68" s="78" t="inlineStr">
        <is>
          <t>Approved</t>
        </is>
      </c>
      <c r="N68" s="74" t="inlineStr">
        <is>
          <t>New controls layer for research data path. [Phase 3 group-3 APPROVED 2026-05-01 per Codex Phase 3 group-3 v0.2 verification (0 HIGH / 0 MEDIUM, CLOSED). Convergence: v0.1 (2 HIGH + 3 MEDIUM) -&gt; v0.2 (CLOSED + 1 LOW non-blocking clarification applied). Approval: workstream lead (Evans) via Claude proxy; stakeholder dual-control sign-off (Engineering Lead + Product Lead + Privacy Officer + Clinical Safety Officer per I-015) async-ratified per Phase 0 ballot path. Lands canonically at Phase 6 promotion: DOMAIN_EVENTS v5.2, FORMS_ENGINE v5.2, MARKET_LAUNCH v5.1, GOVERNANCE_CONTROLS v5.2. ERROR_MODEL and IDEMPOTENCY require no v1.10 edits per matrix scan; semantics compose cleanly with new events.]</t>
        </is>
      </c>
      <c r="O68" s="38" t="inlineStr">
        <is>
          <t>[High-risk row - depends on upstream contracts/ADRs; Phase 0 walk to refine]</t>
        </is>
      </c>
    </row>
    <row r="69" ht="99.75" customHeight="1" s="39">
      <c r="A69" s="71" t="inlineStr">
        <is>
          <t>C5</t>
        </is>
      </c>
      <c r="B69" s="74" t="inlineStr">
        <is>
          <t>Research data partnership (Posture A as Release 2 goal; Telecheck parent level)</t>
        </is>
      </c>
      <c r="C69" s="75" t="inlineStr">
        <is>
          <t>F16</t>
        </is>
      </c>
      <c r="D69" s="74" t="inlineStr">
        <is>
          <t>Telecheck_Contracts_Pack_v5_00_INVARIANTS.md</t>
        </is>
      </c>
      <c r="E69" s="76" t="inlineStr">
        <is>
          <t>Contracts</t>
        </is>
      </c>
      <c r="F69" s="74" t="inlineStr">
        <is>
          <t>Invariants — research data invariants</t>
        </is>
      </c>
      <c r="G69" s="74" t="inlineStr">
        <is>
          <t>New entry</t>
        </is>
      </c>
      <c r="H69" s="74" t="inlineStr">
        <is>
          <t>Consider new invariants: 'I-024 — research data export requires active DSA + active consent + k-anonymity threshold met'. 'I-025 — research consent declination has zero impact on care.' 'I-026 — research data export is fully audited with cohort definition, k-threshold, requester, DSA reference.'</t>
        </is>
      </c>
      <c r="I69" s="74" t="inlineStr">
        <is>
          <t>No</t>
        </is>
      </c>
      <c r="J69" s="74" t="inlineStr">
        <is>
          <t>Privacy Officer + Engineering</t>
        </is>
      </c>
      <c r="K69" s="75" t="inlineStr">
        <is>
          <t>B</t>
        </is>
      </c>
      <c r="L69" s="77" t="inlineStr">
        <is>
          <t>High</t>
        </is>
      </c>
      <c r="M69" s="78" t="inlineStr">
        <is>
          <t>Approved</t>
        </is>
      </c>
      <c r="N69" s="74" t="inlineStr">
        <is>
          <t>Floor-level invariants for the research pipeline. [Phase 0 mechanical normalization 2026-05-01: edit_type 'New entries' -&gt; 'New entry' per planning freeze v1.4 §3 Phase 0 + Codex Adversarial Review Finding 4 controlled vocabulary] [Phase 3 group-1 APPROVED 2026-05-01 per Codex Phase 3 group-1 v0.3 verification (0 HIGH / 0 MEDIUM, CLOSED). Convergence: v0.1 (1 HIGH + 5 MEDIUM) -&gt; v0.2 (1 HIGH carry-forward) -&gt; v0.3 (CLOSED). Approval: workstream lead (Evans) via Claude proxy; stakeholder dual-control sign-off (Engineering Lead + Clinical Safety Officer + Privacy Officer per I-015) async-ratified per Phase 0 ballot path. Lands canonically at Phase 6 promotion: INVARIANTS v5.2 (I-029/030/031), AUDIT_EVENTS v5.2 (envelope + events), WORKLOAD_TAXONOMY v5.2 (NEW), AUTONOMY_LEVELS v5.2 (NEW).]</t>
        </is>
      </c>
      <c r="O69" s="38" t="inlineStr">
        <is>
          <t>[High-risk row - depends on upstream contracts/ADRs; Phase 0 walk to refine]</t>
        </is>
      </c>
    </row>
    <row r="70" ht="99.75" customHeight="1" s="39">
      <c r="A70" s="71" t="inlineStr">
        <is>
          <t>C5</t>
        </is>
      </c>
      <c r="B70" s="74" t="inlineStr">
        <is>
          <t>Research data partnership (Posture A as Release 2 goal; Telecheck parent level)</t>
        </is>
      </c>
      <c r="C70" s="75" t="inlineStr">
        <is>
          <t>F38</t>
        </is>
      </c>
      <c r="D70" s="74" t="inlineStr">
        <is>
          <t>Telecheck_Canonical_Data_Model_v1_2.md</t>
        </is>
      </c>
      <c r="E70" s="76" t="inlineStr">
        <is>
          <t>Engineering</t>
        </is>
      </c>
      <c r="F70" s="74" t="inlineStr">
        <is>
          <t>Canonical Data Model — research entities</t>
        </is>
      </c>
      <c r="G70" s="74" t="inlineStr">
        <is>
          <t>New entry</t>
        </is>
      </c>
      <c r="H70" s="74" t="inlineStr">
        <is>
          <t>Add entities: ResearchConsent, ResearchCohort, DataSharingAgreement, ResearchPartner, ResearchExportRequest. Document relationships to Patient, IntakeResponse, ClinicalRecord.</t>
        </is>
      </c>
      <c r="I70" s="74" t="inlineStr">
        <is>
          <t>Yes — data model entities cascade to API contracts, state machines, audit events, slice PRDs</t>
        </is>
      </c>
      <c r="J70" s="74" t="inlineStr">
        <is>
          <t>Engineering + Product Lead</t>
        </is>
      </c>
      <c r="K70" s="75" t="inlineStr">
        <is>
          <t>B</t>
        </is>
      </c>
      <c r="L70" s="68" t="inlineStr">
        <is>
          <t>Medium</t>
        </is>
      </c>
      <c r="M70" s="78" t="inlineStr">
        <is>
          <t>Approved</t>
        </is>
      </c>
      <c r="N70" s="74" t="inlineStr">
        <is>
          <t>[Phase 0 suggested 2nd approver per I-015 - confirm at walk: Product Lead; final pair: Engineering + Product Lead] [Phase 0 mechanical normalization 2026-05-01: edit_type 'New entries' -&gt; 'New entry' per planning freeze v1.4 §3 Phase 0 + Codex Adversarial Review Finding 4 controlled vocabulary] [Audit-B pairing async-ratified 2026-05-01 per Evans (workstream lead) directive; final pair applied per planning freeze v1.5 §3 Phase 0 deterministic pairing rules; ballot reference Phase0_Audit_B_Pairing_Ballot.md]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c r="O70" s="38" t="inlineStr">
        <is>
          <t>[High-risk row - depends on upstream contracts/ADRs; Phase 0 walk to refine]</t>
        </is>
      </c>
    </row>
    <row r="71" ht="99.75" customHeight="1" s="39">
      <c r="A71" s="71" t="inlineStr">
        <is>
          <t>C5</t>
        </is>
      </c>
      <c r="B71" s="74" t="inlineStr">
        <is>
          <t>Research data partnership (Posture A as Release 2 goal; Telecheck parent level)</t>
        </is>
      </c>
      <c r="C71" s="75" t="inlineStr">
        <is>
          <t>F39</t>
        </is>
      </c>
      <c r="D71" s="74" t="inlineStr">
        <is>
          <t>Telecheck_State_Machines_v1_1.md</t>
        </is>
      </c>
      <c r="E71" s="76" t="inlineStr">
        <is>
          <t>Engineering</t>
        </is>
      </c>
      <c r="F71" s="74" t="inlineStr">
        <is>
          <t>State Machines — research consent + export state machines</t>
        </is>
      </c>
      <c r="G71" s="74" t="inlineStr">
        <is>
          <t>New entry</t>
        </is>
      </c>
      <c r="H71" s="74" t="inlineStr">
        <is>
          <t>Add state machines: ResearchConsent (pending → granted → revoked); DataSharingAgreement (draft → in_review → active → expired → renewed); ResearchExportRequest (queued → processing → ready → delivered → expired).</t>
        </is>
      </c>
      <c r="I71" s="74" t="inlineStr">
        <is>
          <t>Yes — state machines cascade to event consumers (audit, governance dashboards, automated lifecycle management)</t>
        </is>
      </c>
      <c r="J71" s="74" t="inlineStr">
        <is>
          <t>Engineering + Product Lead</t>
        </is>
      </c>
      <c r="K71" s="75" t="inlineStr">
        <is>
          <t>B</t>
        </is>
      </c>
      <c r="L71" s="68" t="inlineStr">
        <is>
          <t>Medium</t>
        </is>
      </c>
      <c r="M71" s="78" t="inlineStr">
        <is>
          <t>Approved</t>
        </is>
      </c>
      <c r="N71" s="74" t="inlineStr">
        <is>
          <t>[Phase 0 suggested 2nd approver per I-015 - confirm at walk: Product Lead; final pair: Engineering + Product Lead] [Phase 0 mechanical normalization 2026-05-01: edit_type 'New entries' -&gt; 'New entry' per planning freeze v1.4 §3 Phase 0 + Codex Adversarial Review Finding 4 controlled vocabulary] [Audit-B pairing async-ratified 2026-05-01 per Evans (workstream lead) directive; final pair applied per planning freeze v1.5 §3 Phase 0 deterministic pairing rules; ballot reference Phase0_Audit_B_Pairing_Ballot.md]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c r="O71" s="38" t="inlineStr">
        <is>
          <t>[High-risk row - depends on upstream contracts/ADRs; Phase 0 walk to refine]</t>
        </is>
      </c>
    </row>
    <row r="72" ht="99.75" customHeight="1" s="39">
      <c r="A72" s="71" t="inlineStr">
        <is>
          <t>C5</t>
        </is>
      </c>
      <c r="B72" s="74" t="inlineStr">
        <is>
          <t>Research data partnership (Posture A as Release 2 goal; Telecheck parent level)</t>
        </is>
      </c>
      <c r="C72" s="75" t="inlineStr">
        <is>
          <t>F41</t>
        </is>
      </c>
      <c r="D72" s="74" t="inlineStr">
        <is>
          <t>Telecheck_System_Architecture_v1_2.md</t>
        </is>
      </c>
      <c r="E72" s="76" t="inlineStr">
        <is>
          <t>Engineering</t>
        </is>
      </c>
      <c r="F72" s="74" t="inlineStr">
        <is>
          <t>System Architecture — research data module</t>
        </is>
      </c>
      <c r="G72" s="74" t="inlineStr">
        <is>
          <t>New section</t>
        </is>
      </c>
      <c r="H72" s="74" t="inlineStr">
        <is>
          <t>Add research data export module to system architecture. Document: cohort definition layer, de-identification engine, aggregation layer, DSA enforcement, export audit. Position relative to Care Delivery and Governance modules.</t>
        </is>
      </c>
      <c r="I72" s="74" t="inlineStr">
        <is>
          <t>No</t>
        </is>
      </c>
      <c r="J72" s="74" t="inlineStr">
        <is>
          <t>Engineering Lead + Product Lead</t>
        </is>
      </c>
      <c r="K72" s="75" t="inlineStr">
        <is>
          <t>B</t>
        </is>
      </c>
      <c r="L72" s="77" t="inlineStr">
        <is>
          <t>High</t>
        </is>
      </c>
      <c r="M72" s="78" t="inlineStr">
        <is>
          <t>Approved</t>
        </is>
      </c>
      <c r="N72" s="74" t="inlineStr">
        <is>
          <t>New module in modular monolith. Substantial architecture addition. [Phase 0 suggested 2nd approver per I-015 - confirm at walk: Product Lead; final pair: Engineering Lead + Product Lead] [Audit-B pairing async-ratified 2026-05-01 per Evans (workstream lead) directive; final pair applied per planning freeze v1.5 §3 Phase 0 deterministic pairing rules; ballot reference Phase0_Audit_B_Pairing_Ballot.md]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c r="O72" s="38" t="inlineStr">
        <is>
          <t>[High-risk row - depends on upstream contracts/ADRs; Phase 0 walk to refine]</t>
        </is>
      </c>
    </row>
    <row r="73" ht="99.75" customHeight="1" s="39">
      <c r="A73" s="71" t="inlineStr">
        <is>
          <t>C5</t>
        </is>
      </c>
      <c r="B73" s="74" t="inlineStr">
        <is>
          <t>Research data partnership (Posture A as Release 2 goal; Telecheck parent level)</t>
        </is>
      </c>
      <c r="C73" s="75" t="inlineStr">
        <is>
          <t>F42</t>
        </is>
      </c>
      <c r="D73" s="74" t="inlineStr">
        <is>
          <t>Telecheck_RBAC_Permissions_Matrix_v1_1.md</t>
        </is>
      </c>
      <c r="E73" s="76" t="inlineStr">
        <is>
          <t>Engineering</t>
        </is>
      </c>
      <c r="F73" s="74" t="inlineStr">
        <is>
          <t>RBAC Permissions Matrix — research roles</t>
        </is>
      </c>
      <c r="G73" s="74" t="inlineStr">
        <is>
          <t>New entry</t>
        </is>
      </c>
      <c r="H73" s="74" t="inlineStr">
        <is>
          <t>Add roles: Research Data Steward, Research Ethics Committee Member (read-only oversight), External Research Partner (highly scoped). Define permissions matrix.</t>
        </is>
      </c>
      <c r="I73" s="74" t="inlineStr">
        <is>
          <t>No</t>
        </is>
      </c>
      <c r="J73" s="74" t="inlineStr">
        <is>
          <t>Product Lead + Engineering</t>
        </is>
      </c>
      <c r="K73" s="75" t="inlineStr">
        <is>
          <t>B</t>
        </is>
      </c>
      <c r="L73" s="68" t="inlineStr">
        <is>
          <t>Medium</t>
        </is>
      </c>
      <c r="M73" s="78" t="inlineStr">
        <is>
          <t>Approved</t>
        </is>
      </c>
      <c r="N73" s="74" t="inlineStr">
        <is>
          <t>[Phase 0 mechanical normalization 2026-05-01: edit_type 'New entries' -&gt; 'New entry' per planning freeze v1.4 §3 Phase 0 + Codex Adversarial Review Finding 4 controlled vocabulary]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74" ht="99.75" customHeight="1" s="39">
      <c r="A74" s="71" t="inlineStr">
        <is>
          <t>C5</t>
        </is>
      </c>
      <c r="B74" s="74" t="inlineStr">
        <is>
          <t>Research data partnership (Posture A as Release 2 goal; Telecheck parent level)</t>
        </is>
      </c>
      <c r="C74" s="75" t="inlineStr">
        <is>
          <t>F40</t>
        </is>
      </c>
      <c r="D74" s="74" t="inlineStr">
        <is>
          <t>Telecheck_OpenAPI_v0_2.md</t>
        </is>
      </c>
      <c r="E74" s="76" t="inlineStr">
        <is>
          <t>Engineering</t>
        </is>
      </c>
      <c r="F74" s="74" t="inlineStr">
        <is>
          <t>OpenAPI v0.2 — research endpoints</t>
        </is>
      </c>
      <c r="G74" s="74" t="inlineStr">
        <is>
          <t>New entry</t>
        </is>
      </c>
      <c r="H74" s="74" t="inlineStr">
        <is>
          <t>Add OpenAPI definitions: research consent management, cohort definition, export request, DSA lifecycle. Aligned with new domain events and audit events.</t>
        </is>
      </c>
      <c r="I74" s="74" t="inlineStr">
        <is>
          <t>Yes — API contract changes cascade to clients, integration tests, partner-facing documentation</t>
        </is>
      </c>
      <c r="J74" s="74" t="inlineStr">
        <is>
          <t>Engineering + Product Lead</t>
        </is>
      </c>
      <c r="K74" s="75" t="inlineStr">
        <is>
          <t>B</t>
        </is>
      </c>
      <c r="L74" s="68" t="inlineStr">
        <is>
          <t>Medium</t>
        </is>
      </c>
      <c r="M74" s="78" t="inlineStr">
        <is>
          <t>Approved</t>
        </is>
      </c>
      <c r="N74" s="74" t="inlineStr">
        <is>
          <t>[Phase 0 suggested 2nd approver per I-015 - confirm at walk: Product Lead; final pair: Engineering + Product Lead] [Phase 0 mechanical normalization 2026-05-01: edit_type 'New entries' -&gt; 'New entry' per planning freeze v1.4 §3 Phase 0 + Codex Adversarial Review Finding 4 controlled vocabulary] [Audit-B pairing async-ratified 2026-05-01 per Evans (workstream lead) directive; final pair applied per planning freeze v1.5 §3 Phase 0 deterministic pairing rules; ballot reference Phase0_Audit_B_Pairing_Ballot.md]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c r="O74" s="38" t="inlineStr">
        <is>
          <t>[High-risk row - depends on upstream contracts/ADRs; Phase 0 walk to refine]</t>
        </is>
      </c>
    </row>
    <row r="75" ht="99.75" customHeight="1" s="39">
      <c r="A75" s="71" t="inlineStr">
        <is>
          <t>C5</t>
        </is>
      </c>
      <c r="B75" s="74" t="inlineStr">
        <is>
          <t>Research data partnership (Posture A as Release 2 goal; Telecheck parent level)</t>
        </is>
      </c>
      <c r="C75" s="75" t="inlineStr">
        <is>
          <t>F58</t>
        </is>
      </c>
      <c r="D75" s="74" t="inlineStr">
        <is>
          <t>Telecheck_Operational_Readiness_Todo_v1_5.md</t>
        </is>
      </c>
      <c r="E75" s="76" t="inlineStr">
        <is>
          <t>Operations</t>
        </is>
      </c>
      <c r="F75" s="74" t="inlineStr">
        <is>
          <t>OR Tracker — research data pre-launch items</t>
        </is>
      </c>
      <c r="G75" s="74" t="inlineStr">
        <is>
          <t>New entry</t>
        </is>
      </c>
      <c r="H75" s="74" t="inlineStr">
        <is>
          <t>Add 5 pre-launch decision items: REC partnership designation; research consent text drafted + ethics-reviewed; DSA template legal-reviewed; de-identification standard chosen; initial WHO/UN partner identification.</t>
        </is>
      </c>
      <c r="I75" s="74" t="inlineStr">
        <is>
          <t>No</t>
        </is>
      </c>
      <c r="J75" s="74" t="inlineStr">
        <is>
          <t>Country Launch Director + Privacy Officer</t>
        </is>
      </c>
      <c r="K75" s="75" t="inlineStr">
        <is>
          <t>B</t>
        </is>
      </c>
      <c r="L75" s="77" t="inlineStr">
        <is>
          <t>High</t>
        </is>
      </c>
      <c r="M75" s="78" t="inlineStr">
        <is>
          <t>Approved</t>
        </is>
      </c>
      <c r="N75" s="74" t="inlineStr">
        <is>
          <t>Critical pre-launch dependencies. [Phase 0 mechanical normalization 2026-05-01: edit_type 'New entries' -&gt; 'New entry' per planning freeze v1.4 §3 Phase 0 + Codex Adversarial Review Finding 4 controlled vocabulary]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76" ht="99.75" customHeight="1" s="39">
      <c r="A76" s="71" t="inlineStr">
        <is>
          <t>C5</t>
        </is>
      </c>
      <c r="B76" s="74" t="inlineStr">
        <is>
          <t>Research data partnership (Posture A as Release 2 goal; Telecheck parent level)</t>
        </is>
      </c>
      <c r="C76" s="75" t="inlineStr">
        <is>
          <t>F33</t>
        </is>
      </c>
      <c r="D76" s="74" t="inlineStr">
        <is>
          <t>Telecheck_Market_Rollout_Cockpit_Slice_PRD_v1_0.md</t>
        </is>
      </c>
      <c r="E76" s="76" t="inlineStr">
        <is>
          <t>Slice PRD</t>
        </is>
      </c>
      <c r="F76" s="74" t="inlineStr">
        <is>
          <t>Market Rollout Cockpit — research partnership state in Market Pack</t>
        </is>
      </c>
      <c r="G76" s="74" t="inlineStr">
        <is>
          <t>Reference update</t>
        </is>
      </c>
      <c r="H76" s="74" t="inlineStr">
        <is>
          <t>Market Pack should include research partnership state (active DSAs, REC partnership, etc.). Cockpit should surface research data pipeline health.</t>
        </is>
      </c>
      <c r="I76" s="74" t="inlineStr">
        <is>
          <t>No</t>
        </is>
      </c>
      <c r="J76" s="74" t="inlineStr">
        <is>
          <t>Country Launch Director + Engineering</t>
        </is>
      </c>
      <c r="K76" s="75" t="inlineStr">
        <is>
          <t>B</t>
        </is>
      </c>
      <c r="L76" s="68" t="inlineStr">
        <is>
          <t>Medium</t>
        </is>
      </c>
      <c r="M76" s="78" t="inlineStr">
        <is>
          <t>Approved</t>
        </is>
      </c>
      <c r="N76" s="74" t="inlineStr">
        <is>
          <t>[Phase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77" ht="99.75" customHeight="1" s="39">
      <c r="A77" s="71" t="inlineStr">
        <is>
          <t>C5</t>
        </is>
      </c>
      <c r="B77" s="74" t="inlineStr">
        <is>
          <t>Research data partnership (Posture A as Release 2 goal; Telecheck parent level)</t>
        </is>
      </c>
      <c r="C77" s="75" t="inlineStr">
        <is>
          <t>F36</t>
        </is>
      </c>
      <c r="D77" s="74" t="inlineStr">
        <is>
          <t>Telecheck_RPM_CCM_Slice_PRD_v1_0.md</t>
        </is>
      </c>
      <c r="E77" s="76" t="inlineStr">
        <is>
          <t>Slice PRD</t>
        </is>
      </c>
      <c r="F77" s="74" t="inlineStr">
        <is>
          <t>RPM/CCM slice — research data feed potential</t>
        </is>
      </c>
      <c r="G77" s="74" t="inlineStr">
        <is>
          <t>Reference update</t>
        </is>
      </c>
      <c r="H77" s="74" t="inlineStr">
        <is>
          <t>RPM/CCM produces longitudinal chronic disease data — the highest-value research dataset. Document research data feed as Release 2 capability; clarify consent gating.</t>
        </is>
      </c>
      <c r="I77" s="74" t="inlineStr">
        <is>
          <t>No</t>
        </is>
      </c>
      <c r="J77" s="74" t="inlineStr">
        <is>
          <t>Product Lead + Clinical Lead</t>
        </is>
      </c>
      <c r="K77" s="75" t="inlineStr">
        <is>
          <t>B</t>
        </is>
      </c>
      <c r="L77" s="68" t="inlineStr">
        <is>
          <t>Medium</t>
        </is>
      </c>
      <c r="M77" s="78" t="inlineStr">
        <is>
          <t>Approved</t>
        </is>
      </c>
      <c r="N77" s="74" t="inlineStr">
        <is>
          <t>[Phase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78" ht="99.75" customHeight="1" s="39">
      <c r="A78" s="71" t="inlineStr">
        <is>
          <t>C5</t>
        </is>
      </c>
      <c r="B78" s="74" t="inlineStr">
        <is>
          <t>Research data partnership (Posture A as Release 2 goal; Telecheck parent level)</t>
        </is>
      </c>
      <c r="C78" s="75" t="inlineStr">
        <is>
          <t>F25</t>
        </is>
      </c>
      <c r="D78" s="74" t="inlineStr">
        <is>
          <t>Telecheck_Adverse_Event_Reporting_Slice_PRD_v1_0.md</t>
        </is>
      </c>
      <c r="E78" s="76" t="inlineStr">
        <is>
          <t>Slice PRD</t>
        </is>
      </c>
      <c r="F78" s="74" t="inlineStr">
        <is>
          <t>AE Reporting — research data integration</t>
        </is>
      </c>
      <c r="G78" s="74" t="inlineStr">
        <is>
          <t>Reference update</t>
        </is>
      </c>
      <c r="H78" s="74" t="inlineStr">
        <is>
          <t>AE Reporting is internal safety surveillance per current scope. Clarify: AE data may flow to research partners under separate consent + DSA, distinct from FDA/WHO regulatory reporting.</t>
        </is>
      </c>
      <c r="I78" s="74" t="inlineStr">
        <is>
          <t>No</t>
        </is>
      </c>
      <c r="J78" s="74" t="inlineStr">
        <is>
          <t>Regulatory Affairs Lead + Privacy Officer</t>
        </is>
      </c>
      <c r="K78" s="75" t="inlineStr">
        <is>
          <t>B</t>
        </is>
      </c>
      <c r="L78" s="68" t="inlineStr">
        <is>
          <t>Medium</t>
        </is>
      </c>
      <c r="M78" s="78" t="inlineStr">
        <is>
          <t>Approved</t>
        </is>
      </c>
      <c r="N78" s="74" t="inlineStr">
        <is>
          <t>[Phase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79" ht="99.75" customHeight="1" s="39">
      <c r="A79" s="71" t="inlineStr">
        <is>
          <t>C5</t>
        </is>
      </c>
      <c r="B79" s="74" t="inlineStr">
        <is>
          <t>Research data partnership (Posture A as Release 2 goal; Telecheck parent level)</t>
        </is>
      </c>
      <c r="C79" s="75" t="inlineStr">
        <is>
          <t>F65</t>
        </is>
      </c>
      <c r="D79" s="74" t="inlineStr">
        <is>
          <t>Telecheck_Reviewer_Brief_v1_0.md</t>
        </is>
      </c>
      <c r="E79" s="76" t="inlineStr">
        <is>
          <t>External</t>
        </is>
      </c>
      <c r="F79" s="74" t="inlineStr">
        <is>
          <t>Reviewer Brief — research data partnership context</t>
        </is>
      </c>
      <c r="G79" s="74" t="inlineStr">
        <is>
          <t>New section</t>
        </is>
      </c>
      <c r="H79" s="74" t="inlineStr">
        <is>
          <t>Add research data partnership to '4 things that matter' or as new orienting section. WHO/UN partnership context affects how reviewers interpret the platform's strategic positioning.</t>
        </is>
      </c>
      <c r="I79" s="74" t="inlineStr">
        <is>
          <t>No</t>
        </is>
      </c>
      <c r="J79" s="74" t="inlineStr">
        <is>
          <t>Product Lead</t>
        </is>
      </c>
      <c r="K79" s="75" t="inlineStr">
        <is>
          <t>C</t>
        </is>
      </c>
      <c r="L79" s="68" t="inlineStr">
        <is>
          <t>Medium</t>
        </is>
      </c>
      <c r="M79" s="78" t="inlineStr">
        <is>
          <t>Approved</t>
        </is>
      </c>
      <c r="N79" s="74" t="inlineStr">
        <is>
          <t>[Phase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80" ht="99.75" customHeight="1" s="39">
      <c r="A80" s="71" t="inlineStr">
        <is>
          <t>C5</t>
        </is>
      </c>
      <c r="B80" s="74" t="inlineStr">
        <is>
          <t>Research data partnership (Posture A as Release 2 goal; Telecheck parent level)</t>
        </is>
      </c>
      <c r="C80" s="75" t="inlineStr">
        <is>
          <t>F64</t>
        </is>
      </c>
      <c r="D80" s="74" t="inlineStr">
        <is>
          <t>Telecheck_Investor_One_Pager.md</t>
        </is>
      </c>
      <c r="E80" s="76" t="inlineStr">
        <is>
          <t>External</t>
        </is>
      </c>
      <c r="F80" s="74" t="inlineStr">
        <is>
          <t>Investor One Pager — research data partnership in business model</t>
        </is>
      </c>
      <c r="G80" s="74" t="inlineStr">
        <is>
          <t>New section</t>
        </is>
      </c>
      <c r="H80" s="74" t="inlineStr">
        <is>
          <t>Add Posture A research data partnership as Release 2 strategic capability. WHO/UN partnership story is investor-relevant.</t>
        </is>
      </c>
      <c r="I80" s="74" t="inlineStr">
        <is>
          <t>No</t>
        </is>
      </c>
      <c r="J80" s="74" t="inlineStr">
        <is>
          <t>External Comms + Product</t>
        </is>
      </c>
      <c r="K80" s="75" t="inlineStr">
        <is>
          <t>C</t>
        </is>
      </c>
      <c r="L80" s="68" t="inlineStr">
        <is>
          <t>Medium</t>
        </is>
      </c>
      <c r="M80" s="78" t="inlineStr">
        <is>
          <t>Approved</t>
        </is>
      </c>
      <c r="N80" s="74" t="inlineStr">
        <is>
          <t>[Phase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81" ht="99.75" customHeight="1" s="39">
      <c r="A81" s="71" t="inlineStr">
        <is>
          <t>C5</t>
        </is>
      </c>
      <c r="B81" s="74" t="inlineStr">
        <is>
          <t>Research data partnership (Posture A as Release 2 goal; Telecheck parent level)</t>
        </is>
      </c>
      <c r="C81" s="75" t="inlineStr">
        <is>
          <t>F59</t>
        </is>
      </c>
      <c r="D81" s="74" t="inlineStr">
        <is>
          <t>Telecheck_Artifact_Registry_v2_9.md</t>
        </is>
      </c>
      <c r="E81" s="76" t="inlineStr">
        <is>
          <t>Registry</t>
        </is>
      </c>
      <c r="F81" s="74" t="inlineStr">
        <is>
          <t>Registry — research data artifacts</t>
        </is>
      </c>
      <c r="G81" s="74" t="inlineStr">
        <is>
          <t>New entry</t>
        </is>
      </c>
      <c r="H81" s="74" t="inlineStr">
        <is>
          <t>Document new artifacts introduced by C5: ADR-028, Research Data Governance section, DSA template, de-identification standard. Update registry counts.</t>
        </is>
      </c>
      <c r="I81" s="74" t="inlineStr">
        <is>
          <t>No</t>
        </is>
      </c>
      <c r="J81" s="74" t="inlineStr">
        <is>
          <t>Product Lead + Engineering Lead</t>
        </is>
      </c>
      <c r="K81" s="75" t="inlineStr">
        <is>
          <t>B</t>
        </is>
      </c>
      <c r="L81" s="68" t="inlineStr">
        <is>
          <t>Medium</t>
        </is>
      </c>
      <c r="M81" s="78" t="inlineStr">
        <is>
          <t>Approved</t>
        </is>
      </c>
      <c r="N81" s="74" t="inlineStr">
        <is>
          <t>[Phase 0 suggested 2nd approver per I-015 - confirm at walk: Engineering Lead; final pair: Product Lead + Engineering Lead] [Audit-B pairing async-ratified 2026-05-01 per Evans (workstream lead) directive; final pair applied per planning freeze v1.5 §3 Phase 0 deterministic pairing rules; ballot reference Phase0_Audit_B_Pairing_Ballot.md]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c r="O81" s="38" t="inlineStr">
        <is>
          <t>[High-risk row - depends on upstream contracts/ADRs; Phase 0 walk to refine]</t>
        </is>
      </c>
    </row>
    <row r="82" ht="99.75" customHeight="1" s="39">
      <c r="A82" s="72" t="inlineStr">
        <is>
          <t>C6</t>
        </is>
      </c>
      <c r="B82" s="74" t="inlineStr">
        <is>
          <t>Program catalog architecture canonicalization (Design 1)</t>
        </is>
      </c>
      <c r="C82" s="75" t="inlineStr">
        <is>
          <t>F01</t>
        </is>
      </c>
      <c r="D82" s="74" t="inlineStr">
        <is>
          <t>Telecheck_Master_Platform_PRD_v1_9.md</t>
        </is>
      </c>
      <c r="E82" s="76" t="inlineStr">
        <is>
          <t>Master PRD</t>
        </is>
      </c>
      <c r="F82" s="74" t="inlineStr">
        <is>
          <t>§10 (or new §10.5) Program catalog architecture; §11.7 cross-references</t>
        </is>
      </c>
      <c r="G82" s="74" t="inlineStr">
        <is>
          <t>New section</t>
        </is>
      </c>
      <c r="H82" s="74" t="inlineStr">
        <is>
          <t>Add §10.5 'Program catalog architecture' or similar — make explicit: platform-level program definition + ProgramMarketPolicy + four-layer Forms Engine + Pattern A versioning + CCR runtime = single multi-country catalog with country-specific offerability. Currently distributed across Forms Engine, Market Launch, Cockpit, RPM/CCM. ~25 lines tying it together with cross-references.</t>
        </is>
      </c>
      <c r="I82" s="74" t="inlineStr">
        <is>
          <t>Yes — clarifying cross-references, no contract change</t>
        </is>
      </c>
      <c r="J82" s="74" t="inlineStr">
        <is>
          <t>Product Lead + Clinical Lead</t>
        </is>
      </c>
      <c r="K82" s="75" t="inlineStr">
        <is>
          <t>B</t>
        </is>
      </c>
      <c r="L82" s="68" t="inlineStr">
        <is>
          <t>Medium</t>
        </is>
      </c>
      <c r="M82" s="78" t="inlineStr">
        <is>
          <t>Approved</t>
        </is>
      </c>
      <c r="N82" s="74" t="inlineStr">
        <is>
          <t>Make Design 1 architecture legible at the Master PRD level. [Phase 0 suggested 2nd approver per I-015 - confirm at walk: Clinical Lead; final pair: Product Lead + Clinical Lead] [Audit-B pairing async-ratified 2026-05-01 per Evans (workstream lead) directive; final pair applied per planning freeze v1.5 §3 Phase 0 deterministic pairing rules; ballot reference Phase0_Audit_B_Pairing_Ballot.md] [Phase 2 CLOSED 2026-05-01: Master PRD v1.10 canonicalized for this cycle's section edits. Codex Phase 2 mid-cycle review v0.2 cleared §13.7 (C7); Phase 2.X v0.2 cleared F13 glossary reconciliation; Phase 2 EXIT v0.3 cleared all 7 cycles end-to-end (HIGH Heros migration cleanup + MEDIUM-1 C3 brand normalization + MEDIUM-2 §24/§25 stale refs + MEDIUM-3 alias discipline with §17 carve-outs all closed). Approval: workstream lead (Evans) via Claude proxy with audit-B sign-off async-ratified per Phase 0 ballot path. Phase 3 (Contracts Pack edits) begins next.]</t>
        </is>
      </c>
      <c r="O82" s="38" t="inlineStr">
        <is>
          <t>[High-risk Master PRD section - Phase 0 walk to refine]</t>
        </is>
      </c>
    </row>
    <row r="83" ht="99.75" customHeight="1" s="39">
      <c r="A83" s="72" t="inlineStr">
        <is>
          <t>C6</t>
        </is>
      </c>
      <c r="B83" s="74" t="inlineStr">
        <is>
          <t>Program catalog architecture canonicalization (Design 1)</t>
        </is>
      </c>
      <c r="C83" s="75" t="inlineStr">
        <is>
          <t>F12</t>
        </is>
      </c>
      <c r="D83" s="74" t="inlineStr">
        <is>
          <t>Telecheck_Contracts_Pack_v5_00_FORMS_ENGINE.md</t>
        </is>
      </c>
      <c r="E83" s="76" t="inlineStr">
        <is>
          <t>Contracts</t>
        </is>
      </c>
      <c r="F83" s="74" t="inlineStr">
        <is>
          <t>Forms Engine contract — cross-reference to Master PRD</t>
        </is>
      </c>
      <c r="G83" s="74" t="inlineStr">
        <is>
          <t>Reference update</t>
        </is>
      </c>
      <c r="H83" s="74" t="inlineStr">
        <is>
          <t>Add cross-reference to new Master PRD §10.5. Verify Pattern A and four-layer architecture descriptions align.</t>
        </is>
      </c>
      <c r="I83" s="74" t="inlineStr">
        <is>
          <t>No</t>
        </is>
      </c>
      <c r="J83" s="74" t="inlineStr">
        <is>
          <t>Product Lead</t>
        </is>
      </c>
      <c r="K83" s="75" t="inlineStr">
        <is>
          <t>C</t>
        </is>
      </c>
      <c r="L83" s="66" t="inlineStr">
        <is>
          <t>Low</t>
        </is>
      </c>
      <c r="M83" s="78" t="inlineStr">
        <is>
          <t>Approved</t>
        </is>
      </c>
      <c r="N83" s="74" t="inlineStr">
        <is>
          <t>[Phase 3 group-3 APPROVED 2026-05-01 per Codex Phase 3 group-3 v0.2 verification (0 HIGH / 0 MEDIUM, CLOSED). Convergence: v0.1 (2 HIGH + 3 MEDIUM) -&gt; v0.2 (CLOSED + 1 LOW non-blocking clarification applied). Approval: workstream lead (Evans) via Claude proxy; stakeholder dual-control sign-off (Engineering Lead + Product Lead + Privacy Officer + Clinical Safety Officer per I-015) async-ratified per Phase 0 ballot path. Lands canonically at Phase 6 promotion: DOMAIN_EVENTS v5.2, FORMS_ENGINE v5.2, MARKET_LAUNCH v5.1, GOVERNANCE_CONTROLS v5.2. ERROR_MODEL and IDEMPOTENCY require no v1.10 edits per matrix scan; semantics compose cleanly with new events.]</t>
        </is>
      </c>
      <c r="O83" s="38" t="inlineStr">
        <is>
          <t>[High-risk row - depends on upstream contracts/ADRs; Phase 0 walk to refine]</t>
        </is>
      </c>
    </row>
    <row r="84" ht="99.75" customHeight="1" s="39">
      <c r="A84" s="72" t="inlineStr">
        <is>
          <t>C6</t>
        </is>
      </c>
      <c r="B84" s="74" t="inlineStr">
        <is>
          <t>Program catalog architecture canonicalization (Design 1)</t>
        </is>
      </c>
      <c r="C84" s="75" t="inlineStr">
        <is>
          <t>F17</t>
        </is>
      </c>
      <c r="D84" s="74" t="inlineStr">
        <is>
          <t>Telecheck_Contracts_Pack_v5_00_MARKET_LAUNCH.md</t>
        </is>
      </c>
      <c r="E84" s="76" t="inlineStr">
        <is>
          <t>Contracts</t>
        </is>
      </c>
      <c r="F84" s="74" t="inlineStr">
        <is>
          <t>MARKET_LAUNCH contract — cross-reference</t>
        </is>
      </c>
      <c r="G84" s="74" t="inlineStr">
        <is>
          <t>Reference update</t>
        </is>
      </c>
      <c r="H84" s="74" t="inlineStr">
        <is>
          <t>Add cross-reference to new Master PRD §10.5. Verify ProgramMarketPolicy framing aligns.</t>
        </is>
      </c>
      <c r="I84" s="74" t="inlineStr">
        <is>
          <t>No</t>
        </is>
      </c>
      <c r="J84" s="74" t="inlineStr">
        <is>
          <t>Product Lead</t>
        </is>
      </c>
      <c r="K84" s="75" t="inlineStr">
        <is>
          <t>C</t>
        </is>
      </c>
      <c r="L84" s="66" t="inlineStr">
        <is>
          <t>Low</t>
        </is>
      </c>
      <c r="M84" s="78" t="inlineStr">
        <is>
          <t>Approved</t>
        </is>
      </c>
      <c r="N84" s="74" t="inlineStr">
        <is>
          <t>[Phase 3 group-3 APPROVED 2026-05-01 per Codex Phase 3 group-3 v0.2 verification (0 HIGH / 0 MEDIUM, CLOSED). Convergence: v0.1 (2 HIGH + 3 MEDIUM) -&gt; v0.2 (CLOSED + 1 LOW non-blocking clarification applied). Approval: workstream lead (Evans) via Claude proxy; stakeholder dual-control sign-off (Engineering Lead + Product Lead + Privacy Officer + Clinical Safety Officer per I-015) async-ratified per Phase 0 ballot path. Lands canonically at Phase 6 promotion: DOMAIN_EVENTS v5.2, FORMS_ENGINE v5.2, MARKET_LAUNCH v5.1, GOVERNANCE_CONTROLS v5.2. ERROR_MODEL and IDEMPOTENCY require no v1.10 edits per matrix scan; semantics compose cleanly with new events.]</t>
        </is>
      </c>
      <c r="O84" s="38" t="inlineStr">
        <is>
          <t>[High-risk row - depends on upstream contracts/ADRs; Phase 0 walk to refine]</t>
        </is>
      </c>
    </row>
    <row r="85" ht="99.75" customHeight="1" s="39">
      <c r="A85" s="72" t="inlineStr">
        <is>
          <t>C6</t>
        </is>
      </c>
      <c r="B85" s="74" t="inlineStr">
        <is>
          <t>Program catalog architecture canonicalization (Design 1)</t>
        </is>
      </c>
      <c r="C85" s="75" t="inlineStr">
        <is>
          <t>F09</t>
        </is>
      </c>
      <c r="D85" s="74" t="inlineStr">
        <is>
          <t>Telecheck_Contracts_Pack_v5_00_CCR_RUNTIME.md</t>
        </is>
      </c>
      <c r="E85" s="76" t="inlineStr">
        <is>
          <t>Contracts</t>
        </is>
      </c>
      <c r="F85" s="74" t="inlineStr">
        <is>
          <t>CCR Runtime — cross-reference to Master PRD program catalog</t>
        </is>
      </c>
      <c r="G85" s="74" t="inlineStr">
        <is>
          <t>Reference update</t>
        </is>
      </c>
      <c r="H85" s="74" t="inlineStr">
        <is>
          <t>Add cross-reference. Verify CCR's role in country-specific runtime is consistently framed.</t>
        </is>
      </c>
      <c r="I85" s="74" t="inlineStr">
        <is>
          <t>No</t>
        </is>
      </c>
      <c r="J85" s="74" t="inlineStr">
        <is>
          <t>Product Lead</t>
        </is>
      </c>
      <c r="K85" s="75" t="inlineStr">
        <is>
          <t>C</t>
        </is>
      </c>
      <c r="L85" s="66" t="inlineStr">
        <is>
          <t>Low</t>
        </is>
      </c>
      <c r="M85" s="78" t="inlineStr">
        <is>
          <t>Approved</t>
        </is>
      </c>
      <c r="N85" s="74" t="inlineStr">
        <is>
          <t>[Phase 3 group-2 APPROVED 2026-05-01 per Codex Phase 3 group-2 v0.3 verification (0 HIGH / 0 MEDIUM, CLOSED). Convergence: v0.1 (2 HIGH + 4 MEDIUM) -&gt; v0.2 (1 residual MEDIUM count inconsistency) -&gt; v0.3 (CLOSED). Approval: workstream lead (Evans) via Claude proxy; stakeholder dual-control sign-off (Engineering Lead + Product Lead + Privacy Officer + Clinical Safety Officer per I-015) async-ratified per Phase 0 ballot path. Lands canonically at Phase 6 promotion: TYPES v5.2, CCR_RUNTIME v5.2, GLOSSARY v5.2, AI_LAYERING v5.2.]</t>
        </is>
      </c>
      <c r="O85" s="38" t="inlineStr">
        <is>
          <t>[High-risk row - depends on upstream contracts/ADRs; Phase 0 walk to refine]</t>
        </is>
      </c>
    </row>
    <row r="86" ht="99.75" customHeight="1" s="39">
      <c r="A86" s="72" t="inlineStr">
        <is>
          <t>C6</t>
        </is>
      </c>
      <c r="B86" s="74" t="inlineStr">
        <is>
          <t>Program catalog architecture canonicalization (Design 1)</t>
        </is>
      </c>
      <c r="C86" s="75" t="inlineStr">
        <is>
          <t>F33</t>
        </is>
      </c>
      <c r="D86" s="74" t="inlineStr">
        <is>
          <t>Telecheck_Market_Rollout_Cockpit_Slice_PRD_v1_0.md</t>
        </is>
      </c>
      <c r="E86" s="76" t="inlineStr">
        <is>
          <t>Slice PRD</t>
        </is>
      </c>
      <c r="F86" s="74" t="inlineStr">
        <is>
          <t>Market Rollout Cockpit slice — Master PRD cross-reference</t>
        </is>
      </c>
      <c r="G86" s="74" t="inlineStr">
        <is>
          <t>Reference update</t>
        </is>
      </c>
      <c r="H86" s="74" t="inlineStr">
        <is>
          <t>Cockpit slice already has the Market Pack abstraction. Verify cross-reference to new Master PRD §10.5.</t>
        </is>
      </c>
      <c r="I86" s="74" t="inlineStr">
        <is>
          <t>No</t>
        </is>
      </c>
      <c r="J86" s="74" t="inlineStr">
        <is>
          <t>Product Lead</t>
        </is>
      </c>
      <c r="K86" s="75" t="inlineStr">
        <is>
          <t>C</t>
        </is>
      </c>
      <c r="L86" s="66" t="inlineStr">
        <is>
          <t>Low</t>
        </is>
      </c>
      <c r="M86" s="78" t="inlineStr">
        <is>
          <t>Approved</t>
        </is>
      </c>
      <c r="N86" s="74" t="inlineStr">
        <is>
          <t>[Phase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87" ht="99.75" customHeight="1" s="39">
      <c r="A87" s="72" t="inlineStr">
        <is>
          <t>C6</t>
        </is>
      </c>
      <c r="B87" s="74" t="inlineStr">
        <is>
          <t>Program catalog architecture canonicalization (Design 1)</t>
        </is>
      </c>
      <c r="C87" s="75" t="inlineStr">
        <is>
          <t>F36</t>
        </is>
      </c>
      <c r="D87" s="74" t="inlineStr">
        <is>
          <t>Telecheck_RPM_CCM_Slice_PRD_v1_0.md</t>
        </is>
      </c>
      <c r="E87" s="76" t="inlineStr">
        <is>
          <t>Slice PRD</t>
        </is>
      </c>
      <c r="F87" s="74" t="inlineStr">
        <is>
          <t>RPM/CCM slice — Master PRD cross-reference + offerability</t>
        </is>
      </c>
      <c r="G87" s="74" t="inlineStr">
        <is>
          <t>Reference update</t>
        </is>
      </c>
      <c r="H87" s="74" t="inlineStr">
        <is>
          <t>RPM/CCM slice currently scopes 'Ghana launch'. Update to clarify: RPM/CCM programs are platform-level; Ghana ProgramMarketPolicy activates them at launch; US activation via Heros (or future tenant) ProgramMarketPolicy is a tenant-strategy decision, architecturally enabled.</t>
        </is>
      </c>
      <c r="I87" s="74" t="inlineStr">
        <is>
          <t>Yes — implicitly answers 'is RPM available in US?' question</t>
        </is>
      </c>
      <c r="J87" s="74" t="inlineStr">
        <is>
          <t>Product Lead + Clinical Lead</t>
        </is>
      </c>
      <c r="K87" s="75" t="inlineStr">
        <is>
          <t>B</t>
        </is>
      </c>
      <c r="L87" s="77" t="inlineStr">
        <is>
          <t>High</t>
        </is>
      </c>
      <c r="M87" s="78" t="inlineStr">
        <is>
          <t>Approved</t>
        </is>
      </c>
      <c r="N87" s="74" t="inlineStr">
        <is>
          <t>Resolves the open architectural question from the conversation.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88" ht="99.75" customHeight="1" s="39">
      <c r="A88" s="72" t="inlineStr">
        <is>
          <t>C6</t>
        </is>
      </c>
      <c r="B88" s="74" t="inlineStr">
        <is>
          <t>Program catalog architecture canonicalization (Design 1)</t>
        </is>
      </c>
      <c r="C88" s="75" t="inlineStr">
        <is>
          <t>F30</t>
        </is>
      </c>
      <c r="D88" s="74" t="inlineStr">
        <is>
          <t>Telecheck_Forms_Intake_Engine_Slice_PRD_v2_1.md</t>
        </is>
      </c>
      <c r="E88" s="76" t="inlineStr">
        <is>
          <t>Slice PRD</t>
        </is>
      </c>
      <c r="F88" s="74" t="inlineStr">
        <is>
          <t>Forms Engine slice — porting workflow</t>
        </is>
      </c>
      <c r="G88" s="74" t="inlineStr">
        <is>
          <t>New section</t>
        </is>
      </c>
      <c r="H88" s="74" t="inlineStr">
        <is>
          <t>Add 'Program porting workflow' subsection: how a program defined for one market becomes offerable in another via Pattern A versioning + ProgramMarketPolicy. Reference the Program Porting Checklist (already produced).</t>
        </is>
      </c>
      <c r="I88" s="74" t="inlineStr">
        <is>
          <t>No</t>
        </is>
      </c>
      <c r="J88" s="74" t="inlineStr">
        <is>
          <t>Product Lead + Engineering</t>
        </is>
      </c>
      <c r="K88" s="75" t="inlineStr">
        <is>
          <t>B</t>
        </is>
      </c>
      <c r="L88" s="68" t="inlineStr">
        <is>
          <t>Medium</t>
        </is>
      </c>
      <c r="M88" s="78" t="inlineStr">
        <is>
          <t>Approved</t>
        </is>
      </c>
      <c r="N88" s="74" t="inlineStr">
        <is>
          <t>Operational documentation of the architecture. [Phase 0 suggested 2nd approver per I-015 - confirm at walk: Engineering; final pair: Product Lead + Engineering] [Audit-B pairing async-ratified 2026-05-01 per Evans (workstream lead) directive; final pair applied per planning freeze v1.5 §3 Phase 0 deterministic pairing rules; ballot reference Phase0_Audit_B_Pairing_Ballot.md]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89" ht="99.75" customHeight="1" s="39">
      <c r="A89" s="72" t="inlineStr">
        <is>
          <t>C6</t>
        </is>
      </c>
      <c r="B89" s="74" t="inlineStr">
        <is>
          <t>Program catalog architecture canonicalization (Design 1)</t>
        </is>
      </c>
      <c r="C89" s="75" t="inlineStr">
        <is>
          <t>F65</t>
        </is>
      </c>
      <c r="D89" s="74" t="inlineStr">
        <is>
          <t>Telecheck_Reviewer_Brief_v1_0.md</t>
        </is>
      </c>
      <c r="E89" s="76" t="inlineStr">
        <is>
          <t>External</t>
        </is>
      </c>
      <c r="F89" s="74" t="inlineStr">
        <is>
          <t>Reviewer Brief — '4 things' may become 5</t>
        </is>
      </c>
      <c r="G89" s="74" t="inlineStr">
        <is>
          <t>Reference update</t>
        </is>
      </c>
      <c r="H89" s="74" t="inlineStr">
        <is>
          <t>Brief currently lists '4 things that matter'. Consider adding 'Program catalog architecture (Design 1)' as a 5th. Or fold into existing item on Market Rollout Cockpit.</t>
        </is>
      </c>
      <c r="I89" s="74" t="inlineStr">
        <is>
          <t>No</t>
        </is>
      </c>
      <c r="J89" s="74" t="inlineStr">
        <is>
          <t>Product Lead</t>
        </is>
      </c>
      <c r="K89" s="75" t="inlineStr">
        <is>
          <t>C</t>
        </is>
      </c>
      <c r="L89" s="66" t="inlineStr">
        <is>
          <t>Low</t>
        </is>
      </c>
      <c r="M89" s="78" t="inlineStr">
        <is>
          <t>Approved</t>
        </is>
      </c>
      <c r="N89" s="74" t="inlineStr">
        <is>
          <t>[Phase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90" ht="99.75" customHeight="1" s="39">
      <c r="A90" s="72" t="inlineStr">
        <is>
          <t>C6</t>
        </is>
      </c>
      <c r="B90" s="74" t="inlineStr">
        <is>
          <t>Program catalog architecture canonicalization (Design 1)</t>
        </is>
      </c>
      <c r="C90" s="75" t="inlineStr">
        <is>
          <t>F59</t>
        </is>
      </c>
      <c r="D90" s="74" t="inlineStr">
        <is>
          <t>Telecheck_Artifact_Registry_v2_9.md</t>
        </is>
      </c>
      <c r="E90" s="76" t="inlineStr">
        <is>
          <t>Registry</t>
        </is>
      </c>
      <c r="F90" s="74" t="inlineStr">
        <is>
          <t>Registry — architecture documentation</t>
        </is>
      </c>
      <c r="G90" s="74" t="inlineStr">
        <is>
          <t>New entry</t>
        </is>
      </c>
      <c r="H90" s="74" t="inlineStr">
        <is>
          <t>Document the program catalog architecture canonicalization in Registry. Cross-reference Master PRD §10.5 + checklist artifact.</t>
        </is>
      </c>
      <c r="I90" s="74" t="inlineStr">
        <is>
          <t>No</t>
        </is>
      </c>
      <c r="J90" s="74" t="inlineStr">
        <is>
          <t>Product Lead + Engineering Lead</t>
        </is>
      </c>
      <c r="K90" s="75" t="inlineStr">
        <is>
          <t>B</t>
        </is>
      </c>
      <c r="L90" s="66" t="inlineStr">
        <is>
          <t>Low</t>
        </is>
      </c>
      <c r="M90" s="78" t="inlineStr">
        <is>
          <t>Approved</t>
        </is>
      </c>
      <c r="N90" s="74" t="inlineStr">
        <is>
          <t>[Phase 0 suggested 2nd approver per I-015 - confirm at walk: Engineering Lead; final pair: Product Lead + Engineering Lead] [Audit-B pairing async-ratified 2026-05-01 per Evans (workstream lead) directive; final pair applied per planning freeze v1.5 §3 Phase 0 deterministic pairing rules; ballot reference Phase0_Audit_B_Pairing_Ballot.md]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c r="O90" s="38" t="inlineStr">
        <is>
          <t>[High-risk row - depends on upstream contracts/ADRs; Phase 0 walk to refine]</t>
        </is>
      </c>
    </row>
    <row r="91" ht="99.75" customHeight="1" s="39">
      <c r="A91" s="72" t="inlineStr">
        <is>
          <t>C6</t>
        </is>
      </c>
      <c r="B91" s="74" t="inlineStr">
        <is>
          <t>Program catalog architecture canonicalization (Design 1)</t>
        </is>
      </c>
      <c r="C91" s="75" t="inlineStr">
        <is>
          <t>F47</t>
        </is>
      </c>
      <c r="D91" s="74" t="inlineStr">
        <is>
          <t>Telecheck_Engineering_Handoff_Build_Guide_v1_3.md</t>
        </is>
      </c>
      <c r="E91" s="76" t="inlineStr">
        <is>
          <t>Engineering</t>
        </is>
      </c>
      <c r="F91" s="74" t="inlineStr">
        <is>
          <t>Engineering Handoff Build Guide — architecture clarity</t>
        </is>
      </c>
      <c r="G91" s="74" t="inlineStr">
        <is>
          <t>Reference update</t>
        </is>
      </c>
      <c r="H91" s="74" t="inlineStr">
        <is>
          <t>Update build guide to reference new Master PRD §10.5 as the architectural anchor for the multi-country catalog story.</t>
        </is>
      </c>
      <c r="I91" s="74" t="inlineStr">
        <is>
          <t>No</t>
        </is>
      </c>
      <c r="J91" s="74" t="inlineStr">
        <is>
          <t>Engineering Lead</t>
        </is>
      </c>
      <c r="K91" s="75" t="inlineStr">
        <is>
          <t>C</t>
        </is>
      </c>
      <c r="L91" s="66" t="inlineStr">
        <is>
          <t>Low</t>
        </is>
      </c>
      <c r="M91" s="78" t="inlineStr">
        <is>
          <t>Approved</t>
        </is>
      </c>
      <c r="N91" s="74" t="inlineStr">
        <is>
          <t>[Phase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row>
    <row r="92">
      <c r="A92" s="73" t="inlineStr">
        <is>
          <t>C7</t>
        </is>
      </c>
      <c r="B92" s="74" t="inlineStr">
        <is>
          <t>AI workload taxonomy + autonomy levels (forward-compat for agentic autonomy)</t>
        </is>
      </c>
      <c r="C92" s="75" t="inlineStr">
        <is>
          <t>F08</t>
        </is>
      </c>
      <c r="D92" s="74" t="inlineStr">
        <is>
          <t>Telecheck_Contracts_Pack_v5_00_AUDIT_EVENTS.md</t>
        </is>
      </c>
      <c r="E92" s="76" t="inlineStr">
        <is>
          <t>Contracts</t>
        </is>
      </c>
      <c r="F92" s="74" t="inlineStr">
        <is>
          <t>Audit envelope agentic-context fields</t>
        </is>
      </c>
      <c r="G92" s="74" t="inlineStr">
        <is>
          <t>New section + new fields</t>
        </is>
      </c>
      <c r="H92" s="74" t="inlineStr">
        <is>
          <t>Add audit envelope fields per canonical nullability rule (WORKLOAD_TAXONOMY section 1, ADR-029 Decision section 5). Required for new v1.10 AI events: ai_workload_type, autonomy_level. Nullable reserved agentic-context fields: agent_id, agent_version, tool_call_id, memory_read_set_id, memory_write_set_id, supervising_policy_id, knowledge_source_versions[]. Schema additive only - no audit migration.</t>
        </is>
      </c>
      <c r="I92" s="74" t="inlineStr">
        <is>
          <t>Yes - cascades to AUDIT_EVENTS schema, all audit producers/consumers, evidence locker, regulatory export</t>
        </is>
      </c>
      <c r="J92" s="74" t="inlineStr">
        <is>
          <t>Engineering Lead + Privacy Officer</t>
        </is>
      </c>
      <c r="K92" s="75" t="inlineStr">
        <is>
          <t>B</t>
        </is>
      </c>
      <c r="L92" s="77" t="inlineStr">
        <is>
          <t>High</t>
        </is>
      </c>
      <c r="M92" s="78" t="inlineStr">
        <is>
          <t>Approved</t>
        </is>
      </c>
      <c r="N92" s="74" t="inlineStr">
        <is>
          <t>C7 row T2-R01. Highest-leverage cheapest item per Codex Forward-Compat Review. (Tier2 v1.3, Codex matrix-commit-ready 2026-04-29) [Phase 3 group-1 APPROVED 2026-05-01 per Codex Phase 3 group-1 v0.3 verification (0 HIGH / 0 MEDIUM, CLOSED). Convergence: v0.1 (1 HIGH + 5 MEDIUM) -&gt; v0.2 (1 HIGH carry-forward) -&gt; v0.3 (CLOSED). Approval: workstream lead (Evans) via Claude proxy; stakeholder dual-control sign-off (Engineering Lead + Clinical Safety Officer + Privacy Officer per I-015) async-ratified per Phase 0 ballot path. Lands canonically at Phase 6 promotion: INVARIANTS v5.2 (I-029/030/031), AUDIT_EVENTS v5.2 (envelope + events), WORKLOAD_TAXONOMY v5.2 (NEW), AUTONOMY_LEVELS v5.2 (NEW).]</t>
        </is>
      </c>
      <c r="O92" s="38" t="inlineStr">
        <is>
          <t>Depends on: T2-R02 (TYPES enums)</t>
        </is>
      </c>
    </row>
    <row r="93">
      <c r="A93" s="73" t="inlineStr">
        <is>
          <t>C7</t>
        </is>
      </c>
      <c r="B93" s="74" t="inlineStr">
        <is>
          <t>AI workload taxonomy + autonomy levels (forward-compat for agentic autonomy)</t>
        </is>
      </c>
      <c r="C93" s="75" t="inlineStr">
        <is>
          <t>F19</t>
        </is>
      </c>
      <c r="D93" s="74" t="inlineStr">
        <is>
          <t>Telecheck_Contracts_Pack_v5_00_TYPES.md</t>
        </is>
      </c>
      <c r="E93" s="76" t="inlineStr">
        <is>
          <t>Contracts</t>
        </is>
      </c>
      <c r="F93" s="74" t="inlineStr">
        <is>
          <t>New AIWorkloadType + AutonomyLevel enums; reserved name stubs</t>
        </is>
      </c>
      <c r="G93" s="74" t="inlineStr">
        <is>
          <t>New entry</t>
        </is>
      </c>
      <c r="H93" s="74" t="inlineStr">
        <is>
          <t>Add AIWorkloadType enum (active: conversational_assistant, protocol_execution; reserved: autonomous_agent, multi_agent_supervisor, tool_using_agent). Add AutonomyLevel enum (active: advisory, suggestion, action_with_confirm; reserved: action_with_audit_only, fully_autonomous). Add non-normative reserved name stubs for Agent, Tool, AgentMemory, KnowledgeSource, PolicyAuthorization - reserved names only, no fields/schema/persistence/RBAC/validation in v1.10.</t>
        </is>
      </c>
      <c r="I93" s="74" t="inlineStr">
        <is>
          <t>Yes - cascades to AUDIT_EVENTS, WORKLOAD_TAXONOMY, AUTONOMY_LEVELS, CDM, OpenAPI</t>
        </is>
      </c>
      <c r="J93" s="74" t="inlineStr">
        <is>
          <t>Engineering Lead + Product Lead</t>
        </is>
      </c>
      <c r="K93" s="75" t="inlineStr">
        <is>
          <t>B</t>
        </is>
      </c>
      <c r="L93" s="77" t="inlineStr">
        <is>
          <t>High</t>
        </is>
      </c>
      <c r="M93" s="78" t="inlineStr">
        <is>
          <t>Approved</t>
        </is>
      </c>
      <c r="N93" s="74" t="inlineStr">
        <is>
          <t>C7 row T2-R02. Foundational; must land before AUDIT_EVENTS, CDM, OpenAPI references new enums. [Phase 0 mechanical normalization 2026-05-01: edit_type 'New entries' -&gt; 'New entry' per planning freeze v1.4 §3 Phase 0 + Codex Adversarial Review Finding 4 controlled vocabulary] [Phase 3 group-2 APPROVED 2026-05-01 per Codex Phase 3 group-2 v0.3 verification (0 HIGH / 0 MEDIUM, CLOSED). Convergence: v0.1 (2 HIGH + 4 MEDIUM) -&gt; v0.2 (1 residual MEDIUM count inconsistency) -&gt; v0.3 (CLOSED). Approval: workstream lead (Evans) via Claude proxy; stakeholder dual-control sign-off (Engineering Lead + Product Lead + Privacy Officer + Clinical Safety Officer per I-015) async-ratified per Phase 0 ballot path. Lands canonically at Phase 6 promotion: TYPES v5.2, CCR_RUNTIME v5.2, GLOSSARY v5.2, AI_LAYERING v5.2.]</t>
        </is>
      </c>
      <c r="O93" s="38" t="inlineStr">
        <is>
          <t>Foundational (no upstream)</t>
        </is>
      </c>
    </row>
    <row r="94">
      <c r="A94" s="73" t="inlineStr">
        <is>
          <t>C7</t>
        </is>
      </c>
      <c r="B94" s="74" t="inlineStr">
        <is>
          <t>AI workload taxonomy + autonomy levels (forward-compat for agentic autonomy)</t>
        </is>
      </c>
      <c r="C94" s="75" t="inlineStr">
        <is>
          <t>F09</t>
        </is>
      </c>
      <c r="D94" s="74" t="inlineStr">
        <is>
          <t>Telecheck_Contracts_Pack_v5_00_AI_LAYERING.md</t>
        </is>
      </c>
      <c r="E94" s="76" t="inlineStr">
        <is>
          <t>Contracts</t>
        </is>
      </c>
      <c r="F94" s="74" t="inlineStr">
        <is>
          <t>Section X Future Workload Expansion (new section) + AI-ARCH-001 supersession scope</t>
        </is>
      </c>
      <c r="G94" s="74" t="inlineStr">
        <is>
          <t>Section rewrite</t>
        </is>
      </c>
      <c r="H94" s="74" t="inlineStr">
        <is>
          <t>Apply canonical AI-ARCH-001 supersession rule (single statement; source: WORKLOAD_TAXONOMY section 5, ADR-029 Decision section 3): AI-ARCH-001 remains binding only as: v1.0 has exactly two active workload types, conversational_assistant and protocol_execution. AI-ARCH-001 no longer prohibits reserved future workload type names from existing in WORKLOAD_TAXONOMY enum, but any activation of a reserved workload type requires successor ADR approval. Add new section X Future Workload Expansion.</t>
        </is>
      </c>
      <c r="I94" s="74" t="inlineStr">
        <is>
          <t>Yes - cascades to all AI workload code paths, Slice PRDs, Master PRD section 13</t>
        </is>
      </c>
      <c r="J94" s="74" t="inlineStr">
        <is>
          <t>Engineering Lead + Privacy Officer + Clinical Safety Officer</t>
        </is>
      </c>
      <c r="K94" s="75" t="inlineStr">
        <is>
          <t>B</t>
        </is>
      </c>
      <c r="L94" s="77" t="inlineStr">
        <is>
          <t>High</t>
        </is>
      </c>
      <c r="M94" s="78" t="inlineStr">
        <is>
          <t>Approved</t>
        </is>
      </c>
      <c r="N94" s="74" t="inlineStr">
        <is>
          <t>C7 row T2-R03. Tier 3 contract - sign-off-intensive. Triple-sign-off recommended. [Phase 3 group-2 APPROVED 2026-05-01 per Codex Phase 3 group-2 v0.3 verification (0 HIGH / 0 MEDIUM, CLOSED). Convergence: v0.1 (2 HIGH + 4 MEDIUM) -&gt; v0.2 (1 residual MEDIUM count inconsistency) -&gt; v0.3 (CLOSED). Approval: workstream lead (Evans) via Claude proxy; stakeholder dual-control sign-off (Engineering Lead + Product Lead + Privacy Officer + Clinical Safety Officer per I-015) async-ratified per Phase 0 ballot path. Lands canonically at Phase 6 promotion: TYPES v5.2, CCR_RUNTIME v5.2, GLOSSARY v5.2, AI_LAYERING v5.2.]</t>
        </is>
      </c>
      <c r="O94" s="38" t="inlineStr">
        <is>
          <t>Depends on: T2-R02, T2-R04, T2-R05</t>
        </is>
      </c>
    </row>
    <row r="95">
      <c r="A95" s="73" t="inlineStr">
        <is>
          <t>C7</t>
        </is>
      </c>
      <c r="B95" s="74" t="inlineStr">
        <is>
          <t>AI workload taxonomy + autonomy levels (forward-compat for agentic autonomy)</t>
        </is>
      </c>
      <c r="C95" s="75" t="inlineStr">
        <is>
          <t>F-NEW-WT</t>
        </is>
      </c>
      <c r="D95" s="74" t="inlineStr">
        <is>
          <t>Telecheck_Contracts_Pack_v5_00_WORKLOAD_TAXONOMY.md</t>
        </is>
      </c>
      <c r="E95" s="76" t="inlineStr">
        <is>
          <t>Contracts</t>
        </is>
      </c>
      <c r="F95" s="74" t="inlineStr">
        <is>
          <t>NEW FILE - workload taxonomy contract</t>
        </is>
      </c>
      <c r="G95" s="74" t="inlineStr">
        <is>
          <t>New file authoring</t>
        </is>
      </c>
      <c r="H95" s="74" t="inlineStr">
        <is>
          <t>New contract defining ai_workload_type discriminator with four orthogonal properties (autonomy_level, tool_access, memory_scope, governance_class). Two values active (conversational_assistant, protocol_execution). Three values reserved (autonomous_agent, multi_agent_supervisor, tool_using_agent) with status: reserved_future. Skeleton draft authored at Telecheck_v1_10_PRD_Update/Telecheck_Contracts_Pack_v5_00_WORKLOAD_TAXONOMY_DRAFT.md (v0.3, Codex-verified).</t>
        </is>
      </c>
      <c r="I95" s="74" t="inlineStr">
        <is>
          <t>Yes - referenced by AI-LAYERING, AUTONOMY_LEVELS, CDM, OpenAPI, Slice PRDs</t>
        </is>
      </c>
      <c r="J95" s="74" t="inlineStr">
        <is>
          <t>Engineering Lead + Product Lead + Clinical Safety Officer</t>
        </is>
      </c>
      <c r="K95" s="75" t="inlineStr">
        <is>
          <t>B</t>
        </is>
      </c>
      <c r="L95" s="77" t="inlineStr">
        <is>
          <t>High</t>
        </is>
      </c>
      <c r="M95" s="78" t="inlineStr">
        <is>
          <t>Approved</t>
        </is>
      </c>
      <c r="N95" s="74" t="inlineStr">
        <is>
          <t>C7 row T2-R04. Skeleton draft authored 2026-04-29 (v0.3); needs sign-off review during Phase 3.X. [Phase 3 group-1 APPROVED 2026-05-01 per Codex Phase 3 group-1 v0.3 verification (0 HIGH / 0 MEDIUM, CLOSED). Convergence: v0.1 (1 HIGH + 5 MEDIUM) -&gt; v0.2 (1 HIGH carry-forward) -&gt; v0.3 (CLOSED). Approval: workstream lead (Evans) via Claude proxy; stakeholder dual-control sign-off (Engineering Lead + Clinical Safety Officer + Privacy Officer per I-015) async-ratified per Phase 0 ballot path. Lands canonically at Phase 6 promotion: INVARIANTS v5.2 (I-029/030/031), AUDIT_EVENTS v5.2 (envelope + events), WORKLOAD_TAXONOMY v5.2 (NEW), AUTONOMY_LEVELS v5.2 (NEW).]</t>
        </is>
      </c>
      <c r="O95" s="38" t="inlineStr">
        <is>
          <t>Depends on: T2-R02</t>
        </is>
      </c>
    </row>
    <row r="96">
      <c r="A96" s="73" t="inlineStr">
        <is>
          <t>C7</t>
        </is>
      </c>
      <c r="B96" s="74" t="inlineStr">
        <is>
          <t>AI workload taxonomy + autonomy levels (forward-compat for agentic autonomy)</t>
        </is>
      </c>
      <c r="C96" s="75" t="inlineStr">
        <is>
          <t>F-NEW-AL</t>
        </is>
      </c>
      <c r="D96" s="74" t="inlineStr">
        <is>
          <t>Telecheck_Contracts_Pack_v5_00_AUTONOMY_LEVELS.md</t>
        </is>
      </c>
      <c r="E96" s="76" t="inlineStr">
        <is>
          <t>Contracts</t>
        </is>
      </c>
      <c r="F96" s="74" t="inlineStr">
        <is>
          <t>NEW FILE - autonomy levels contract</t>
        </is>
      </c>
      <c r="G96" s="74" t="inlineStr">
        <is>
          <t>New file authoring</t>
        </is>
      </c>
      <c r="H96" s="74" t="inlineStr">
        <is>
          <t>New contract defining autonomy_level enum vocabulary. Activates levels advisory, suggestion, action_with_confirm at v1.0. Reserves action_with_audit_only and fully_autonomous as reserved_future. Per-level sign-off requirements (current levels: physician review required for action_with_confirm; reserved levels: PolicyAuthorization grant required). Skeleton draft authored at Telecheck_v1_10_PRD_Update/Telecheck_Contracts_Pack_v5_00_AUTONOMY_LEVELS_DRAFT.md (v0.3, Codex-verified).</t>
        </is>
      </c>
      <c r="I96" s="74" t="inlineStr">
        <is>
          <t>Yes - referenced by AI-LAYERING, WORKLOAD_TAXONOMY, State Machines, governance, CDM</t>
        </is>
      </c>
      <c r="J96" s="74" t="inlineStr">
        <is>
          <t>Engineering Lead + Clinical Safety Officer + Privacy Officer</t>
        </is>
      </c>
      <c r="K96" s="75" t="inlineStr">
        <is>
          <t>B</t>
        </is>
      </c>
      <c r="L96" s="77" t="inlineStr">
        <is>
          <t>High</t>
        </is>
      </c>
      <c r="M96" s="78" t="inlineStr">
        <is>
          <t>Approved</t>
        </is>
      </c>
      <c r="N96" s="74" t="inlineStr">
        <is>
          <t>C7 row T2-R05. Triple-sign-off recommended (touches clinical autonomy semantics). [Phase 3 group-1 APPROVED 2026-05-01 per Codex Phase 3 group-1 v0.3 verification (0 HIGH / 0 MEDIUM, CLOSED). Convergence: v0.1 (1 HIGH + 5 MEDIUM) -&gt; v0.2 (1 HIGH carry-forward) -&gt; v0.3 (CLOSED). Approval: workstream lead (Evans) via Claude proxy; stakeholder dual-control sign-off (Engineering Lead + Clinical Safety Officer + Privacy Officer per I-015) async-ratified per Phase 0 ballot path. Lands canonically at Phase 6 promotion: INVARIANTS v5.2 (I-029/030/031), AUDIT_EVENTS v5.2 (envelope + events), WORKLOAD_TAXONOMY v5.2 (NEW), AUTONOMY_LEVELS v5.2 (NEW).]</t>
        </is>
      </c>
      <c r="O96" s="38" t="inlineStr">
        <is>
          <t>Depends on: T2-R02</t>
        </is>
      </c>
    </row>
    <row r="97">
      <c r="A97" s="73" t="inlineStr">
        <is>
          <t>C7</t>
        </is>
      </c>
      <c r="B97" s="74" t="inlineStr">
        <is>
          <t>AI workload taxonomy + autonomy levels (forward-compat for agentic autonomy)</t>
        </is>
      </c>
      <c r="C97" s="75" t="inlineStr">
        <is>
          <t>F39</t>
        </is>
      </c>
      <c r="D97" s="74" t="inlineStr">
        <is>
          <t>Telecheck_State_Machines_v1_1.md</t>
        </is>
      </c>
      <c r="E97" s="76" t="inlineStr">
        <is>
          <t>Spec</t>
        </is>
      </c>
      <c r="F97" s="74" t="inlineStr">
        <is>
          <t>Section X New ProtocolAuthorizedAction lifecycle + I-012 preservation validator</t>
        </is>
      </c>
      <c r="G97" s="74" t="inlineStr">
        <is>
          <t>Section rewrite</t>
        </is>
      </c>
      <c r="H97" s="74" t="inlineStr">
        <is>
          <t>Add new ProtocolAuthorizedAction state machine with only the human_confirmed path implemented as executable code at v1.0: draft -&gt; ai_recommended -&gt; human_confirmed -&gt; executed -&gt; completed. Reserved transitions (ai_recommended -&gt; audit_only_executed, ai_recommended -&gt; autonomous_executed, * -&gt; autonomy_suspended -&gt; escalated_for_review) documented as non-normative future sketches NOT executable in v1.0. Add explicit I-012 preservation validation: state machine MUST reject executed transitions for prescription/refill/medication-order actions when autonomy_level is advisory or suggestion.</t>
        </is>
      </c>
      <c r="I97" s="74" t="inlineStr">
        <is>
          <t>Yes - cascades to all action-execution code paths, audit emission, RBAC enforcement</t>
        </is>
      </c>
      <c r="J97" s="74" t="inlineStr">
        <is>
          <t>Engineering Lead + Clinical Safety Officer</t>
        </is>
      </c>
      <c r="K97" s="75" t="inlineStr">
        <is>
          <t>B</t>
        </is>
      </c>
      <c r="L97" s="77" t="inlineStr">
        <is>
          <t>High</t>
        </is>
      </c>
      <c r="M97" s="78" t="inlineStr">
        <is>
          <t>Approved</t>
        </is>
      </c>
      <c r="N97" s="74" t="inlineStr">
        <is>
          <t>C7 row T2-R06. Reserved transitions defined but not implemented. Activating reserved transitions is implementation work owned by ADR-030. [Phase 0 mechanical normalization 2026-05-01: edit_type 'New section + multiple updates' -&gt; 'Section rewrite' per planning freeze v1.4 §3 Phase 0 + Codex Adversarial Review Finding 4 controlled vocabulary]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c r="O97" s="38" t="inlineStr">
        <is>
          <t>Depends on: T2-R02, T2-R05</t>
        </is>
      </c>
    </row>
    <row r="98">
      <c r="A98" s="73" t="inlineStr">
        <is>
          <t>C7</t>
        </is>
      </c>
      <c r="B98" s="74" t="inlineStr">
        <is>
          <t>AI workload taxonomy + autonomy levels (forward-compat for agentic autonomy)</t>
        </is>
      </c>
      <c r="C98" s="75" t="inlineStr">
        <is>
          <t>F38</t>
        </is>
      </c>
      <c r="D98" s="74" t="inlineStr">
        <is>
          <t>Telecheck_Canonical_Data_Model_v1_2.md</t>
        </is>
      </c>
      <c r="E98" s="76" t="inlineStr">
        <is>
          <t>Spec</t>
        </is>
      </c>
      <c r="F98" s="74" t="inlineStr">
        <is>
          <t>Section X New AIExecution entity + reserved-future entity stubs</t>
        </is>
      </c>
      <c r="G98" s="74" t="inlineStr">
        <is>
          <t>New entry</t>
        </is>
      </c>
      <c r="H98" s="74" t="inlineStr">
        <is>
          <t>Add AIExecution entity (normative, fully implemented at v1.0) unifying current Mode 1 invocations and Mode 2 cases. Schema: id, workload_type (discriminator, required), workload_version (required), autonomy_level (required), supervising_policy_id (nullable), tenant_id (required), patient_id (nullable), agent_id (nullable, reserved), agent_version (nullable, reserved), protocol_id (nullable), protocol_version (nullable), knowledge_source_versions[] (nullable), tool_calls[] (nullable, reserved), memory_reads[] (nullable, reserved), memory_writes[] (nullable, reserved), recommendation, confidence, audit_envelope. Reserved-future entities (Agent, AgentRun, Tool, ToolCall, AgentMemory, KnowledgeSource, PolicyAuthorization): non-normative reserved names only at v1.0.</t>
        </is>
      </c>
      <c r="I98" s="74" t="inlineStr">
        <is>
          <t>Yes - cascades to OpenAPI, all AI-touching modules, audit emission, state machines</t>
        </is>
      </c>
      <c r="J98" s="74" t="inlineStr">
        <is>
          <t>Engineering Lead + Product Lead</t>
        </is>
      </c>
      <c r="K98" s="75" t="inlineStr">
        <is>
          <t>B</t>
        </is>
      </c>
      <c r="L98" s="77" t="inlineStr">
        <is>
          <t>High</t>
        </is>
      </c>
      <c r="M98" s="78" t="inlineStr">
        <is>
          <t>Approved</t>
        </is>
      </c>
      <c r="N98" s="74" t="inlineStr">
        <is>
          <t>C7 row T2-R07. AIExecution is the unification primitive; replaces implicit Mode 1/Mode 2 invocation entities. [Phase 0 mechanical normalization 2026-05-01: edit_type 'New entries' -&gt; 'New entry' per planning freeze v1.4 §3 Phase 0 + Codex Adversarial Review Finding 4 controlled vocabulary]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c r="O98" s="38" t="inlineStr">
        <is>
          <t>Depends on: T2-R02, T2-R04, T2-R05</t>
        </is>
      </c>
    </row>
    <row r="99">
      <c r="A99" s="73" t="inlineStr">
        <is>
          <t>C7</t>
        </is>
      </c>
      <c r="B99" s="74" t="inlineStr">
        <is>
          <t>AI workload taxonomy + autonomy levels (forward-compat for agentic autonomy)</t>
        </is>
      </c>
      <c r="C99" s="75" t="inlineStr">
        <is>
          <t>F01</t>
        </is>
      </c>
      <c r="D99" s="74" t="inlineStr">
        <is>
          <t>Telecheck_Master_Platform_PRD_v1_9.md</t>
        </is>
      </c>
      <c r="E99" s="76" t="inlineStr">
        <is>
          <t>Master PRD</t>
        </is>
      </c>
      <c r="F99" s="74" t="inlineStr">
        <is>
          <t>Section 13 AI/clinical autonomy framework + new section 13.7 workload taxonomy</t>
        </is>
      </c>
      <c r="G99" s="74" t="inlineStr">
        <is>
          <t>Section rewrite</t>
        </is>
      </c>
      <c r="H99" s="74" t="inlineStr">
        <is>
          <t>Reframe section 13 from binary mode model to workload taxonomy + autonomy levels. Mode 1/Mode 2 preserved as labeled special cases (operator UX continuity). Add section 13.7 'AI workload taxonomy and autonomy progression' (~20 lines) naming workload taxonomy contract, autonomy levels contract, ADR-029, reserved future workload types; states ADR-002/ADR-005 remain authoritative for current workloads.</t>
        </is>
      </c>
      <c r="I99" s="74" t="inlineStr">
        <is>
          <t>Yes - cascades to AI Clinical Assistant Slice section 3, AI-LAYERING contract, all narrative references</t>
        </is>
      </c>
      <c r="J99" s="74" t="inlineStr">
        <is>
          <t>Product Lead + Engineering Lead + Clinical Safety Officer</t>
        </is>
      </c>
      <c r="K99" s="75" t="inlineStr">
        <is>
          <t>B</t>
        </is>
      </c>
      <c r="L99" s="77" t="inlineStr">
        <is>
          <t>High</t>
        </is>
      </c>
      <c r="M99" s="78" t="inlineStr">
        <is>
          <t>Approved</t>
        </is>
      </c>
      <c r="N99" s="74" t="inlineStr">
        <is>
          <t>C7 row T2-R08. Highest-visibility narrative change. Must not be cosmetic - workload taxonomy primitive must be visible to all readers. [Phase 2 CLOSED 2026-05-01: Master PRD v1.10 canonicalized for this cycle's section edits. Codex Phase 2 mid-cycle review v0.2 cleared §13.7 (C7); Phase 2.X v0.2 cleared F13 glossary reconciliation; Phase 2 EXIT v0.3 cleared all 7 cycles end-to-end (HIGH Heros migration cleanup + MEDIUM-1 C3 brand normalization + MEDIUM-2 §24/§25 stale refs + MEDIUM-3 alias discipline with §17 carve-outs all closed). Approval: workstream lead (Evans) via Claude proxy with audit-B sign-off async-ratified per Phase 0 ballot path. Phase 3 (Contracts Pack edits) begins next.]</t>
        </is>
      </c>
      <c r="O99" s="38" t="inlineStr">
        <is>
          <t>Depends on: T2-R03, T2-R04, T2-R05, T2-R09 (ADR-029 baseline)</t>
        </is>
      </c>
    </row>
    <row r="100">
      <c r="A100" s="73" t="inlineStr">
        <is>
          <t>C7</t>
        </is>
      </c>
      <c r="B100" s="74" t="inlineStr">
        <is>
          <t>AI workload taxonomy + autonomy levels (forward-compat for agentic autonomy)</t>
        </is>
      </c>
      <c r="C100" s="75" t="inlineStr">
        <is>
          <t>F-NEW-ADR-029</t>
        </is>
      </c>
      <c r="D100" s="74" t="inlineStr">
        <is>
          <t>Telecheck_ADR_029_AI_Workload_Taxonomy.md</t>
        </is>
      </c>
      <c r="E100" s="76" t="inlineStr">
        <is>
          <t>ADR (new)</t>
        </is>
      </c>
      <c r="F100" s="74" t="inlineStr">
        <is>
          <t>NEW FILE - ADR-029 AI Workload Taxonomy</t>
        </is>
      </c>
      <c r="G100" s="74" t="inlineStr">
        <is>
          <t>New file authoring</t>
        </is>
      </c>
      <c r="H100" s="74" t="inlineStr">
        <is>
          <t>New ADR documenting (1) decision to replace binary mode framing with workload taxonomy; (2) supersession scope - ADR-029 supersedes ADR-002 prospectively for new workload additions; current Mode 1/Mode 2 remain governed by ADR-002 until separate successor; (3) consequences - new contracts WORKLOAD_TAXONOMY/AUTONOMY_LEVELS, audit envelope nullable fields, state machine extensions, CDM AIExecution; (4) activation requirements (current workloads at v1.0; reserved gated on ADRs 030-034). Two-stage activation: baselined Phase 3.X -&gt; finally Accepted v1.10 promotion. Skeleton draft at Telecheck_v1_10_PRD_Update/Telecheck_ADR_029_AI_Workload_Taxonomy_DRAFT.md (v0.3, Codex-verified).</t>
        </is>
      </c>
      <c r="I100" s="74" t="inlineStr">
        <is>
          <t>Yes - referenced by Master PRD section 13, AI-LAYERING, all C7 contracts and slices</t>
        </is>
      </c>
      <c r="J100" s="74" t="inlineStr">
        <is>
          <t>Product Lead + Engineering Lead + Clinical Safety Officer + Privacy Officer</t>
        </is>
      </c>
      <c r="K100" s="75" t="inlineStr">
        <is>
          <t>B</t>
        </is>
      </c>
      <c r="L100" s="77" t="inlineStr">
        <is>
          <t>High</t>
        </is>
      </c>
      <c r="M100" s="78" t="inlineStr">
        <is>
          <t>Approved</t>
        </is>
      </c>
      <c r="N100" s="74" t="inlineStr">
        <is>
          <t>C7 row T2-R09. Status Accepted on v1.10 promotion. Quad-sign-off required. Must include explicit non-supersession language for ADR-005. [Phase 4 APPROVED 2026-05-01 per Codex Phase 4 EXIT v0.2 verification (0 HIGH / 0 MEDIUM, CLOSED). Convergence: v0.1 (4 residual hits — ADR-028 §X NEW + v5.1 refs; ADR-029 bare workload_type; ADR-027 §13.5-class) -&gt; v0.2 (CLOSED). All 3 ADRs Phase-4-propagation-ready: ADR-027 v0.6 (§13.6 → §13.2 Governance review process; CCR_RUNTIME v5.2 4-key marketing block); ADR-028 v0.5 (§X NEW → §15.3; v5.1 → v5.2; C3 brand cleanup); ADR-029 v0.4 (Contracts Pack v5.1 → v5.2; §13 → §13.7 specificity; ai_workload_type discriminator canonical). Approval: workstream lead (Evans) via Claude proxy; stakeholder triple/quad sign-off async-ratified per Phase 0 ballot path. Lands canonically at Phase 6 promotion: ADR-027 + ADR-028 + ADR-029 drop _DRAFT suffix and bump to Status: Accepted; ADR Set v1.0 supplementary index updated.]</t>
        </is>
      </c>
      <c r="O100" s="38" t="inlineStr">
        <is>
          <t>Depends on: T2-R02, T2-R04, T2-R05</t>
        </is>
      </c>
    </row>
    <row r="101">
      <c r="A101" s="73" t="inlineStr">
        <is>
          <t>C7</t>
        </is>
      </c>
      <c r="B101" s="74" t="inlineStr">
        <is>
          <t>AI workload taxonomy + autonomy levels (forward-compat for agentic autonomy)</t>
        </is>
      </c>
      <c r="C101" s="75" t="inlineStr">
        <is>
          <t>F22</t>
        </is>
      </c>
      <c r="D101" s="74" t="inlineStr">
        <is>
          <t>Telecheck_AI_Clinical_Assistant_Slice_PRD_v1_0.md</t>
        </is>
      </c>
      <c r="E101" s="76" t="inlineStr">
        <is>
          <t>Slice PRD</t>
        </is>
      </c>
      <c r="F101" s="74" t="inlineStr">
        <is>
          <t>Section 3 architecture - Mode 1/Mode 2 -&gt; workload taxonomy terminology refresh</t>
        </is>
      </c>
      <c r="G101" s="74" t="inlineStr">
        <is>
          <t>Terminology rewrite</t>
        </is>
      </c>
      <c r="H101" s="74" t="inlineStr">
        <is>
          <t>Update section 3 architecture references from 'Mode 1 / Mode 2' to 'workload taxonomy' framing. Mode 1 -&gt; 'conversational_assistant workload'; Mode 2 -&gt; 'protocol_execution workload'. Keep narrative-friendly references to Mode 1/Mode 2 where appropriate (operator UX language) but anchor each to the workload taxonomy primitive. Add forward reference to reserved workload types and ADR-029.</t>
        </is>
      </c>
      <c r="I101" s="74" t="inlineStr">
        <is>
          <t>No - slice-local terminology refresh</t>
        </is>
      </c>
      <c r="J101" s="74" t="inlineStr">
        <is>
          <t>Product Lead + Engineering Lead</t>
        </is>
      </c>
      <c r="K101" s="75" t="inlineStr">
        <is>
          <t>C</t>
        </is>
      </c>
      <c r="L101" s="77" t="inlineStr">
        <is>
          <t>Low</t>
        </is>
      </c>
      <c r="M101" s="78" t="inlineStr">
        <is>
          <t>Approved</t>
        </is>
      </c>
      <c r="N101" s="74" t="inlineStr">
        <is>
          <t>C7 row T2-R10. Lower-risk than other C7 rows; mostly find/replace with anchoring. Does not change behavior. [Phase 0 mechanical normalization 2026-05-01: edit_type 'Terminology rewrite (selective)' -&gt; 'Terminology rewrite' per planning freeze v1.4 §3 Phase 0 + Codex Adversarial Review Finding 4 controlled vocabulary]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c r="O101" s="38" t="inlineStr">
        <is>
          <t>Depends on: T2-R04, T2-R09</t>
        </is>
      </c>
    </row>
    <row r="102">
      <c r="A102" s="73" t="inlineStr">
        <is>
          <t>C5</t>
        </is>
      </c>
      <c r="B102" s="74" t="inlineStr">
        <is>
          <t>Research data partnership Posture A as Release 2 goal (new ADR-028)</t>
        </is>
      </c>
      <c r="C102" s="75" t="inlineStr">
        <is>
          <t>F28</t>
        </is>
      </c>
      <c r="D102" s="74" t="inlineStr">
        <is>
          <t>Telecheck_Consent_Delegated_Access_Slice_PRD_v1_0.md</t>
        </is>
      </c>
      <c r="E102" s="76" t="inlineStr">
        <is>
          <t>Slice PRD</t>
        </is>
      </c>
      <c r="F102" s="74" t="inlineStr">
        <is>
          <t>Section X consent additions for ADR-028 references (5th tier research data-use consent)</t>
        </is>
      </c>
      <c r="G102" s="74" t="inlineStr">
        <is>
          <t>Reference update</t>
        </is>
      </c>
      <c r="H102" s="74" t="inlineStr">
        <is>
          <t>Phase 0 reconciliation: verify F28 Consent &amp; Delegated Access Slice covers ADR-028 references (5th consent tier research data-use, separately revocable, no care impact if declined). If new functionality required (e.g., research consent revocation flow), add as new section. Phase 0 walk verifies whether existing F28 row already covers this or if separate row needed.</t>
        </is>
      </c>
      <c r="I102" s="74" t="inlineStr">
        <is>
          <t>No</t>
        </is>
      </c>
      <c r="J102" s="74" t="inlineStr">
        <is>
          <t>Product Lead + Privacy Officer</t>
        </is>
      </c>
      <c r="K102" s="75" t="inlineStr">
        <is>
          <t>B</t>
        </is>
      </c>
      <c r="L102" s="77" t="inlineStr">
        <is>
          <t>Medium</t>
        </is>
      </c>
      <c r="M102" s="78" t="inlineStr">
        <is>
          <t>Approved</t>
        </is>
      </c>
      <c r="N102" s="74" t="inlineStr">
        <is>
          <t>Phase 0 scope-reconciliation per Codex Adversarial Review MEDIUM-6 (item 1 of 7). Verify or close as out-of-scope with rationale during walk. [Phase 0 walk staging 2026-05-01: F28 Consent &amp; Delegated Access Slice update for ADR-028 (5th tier consent). Phase 0 default decision: CONFIRM. Awaiting stakeholder ratification at convening (Privacy Officer + Product Lead per Approval Owner).]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c r="O102" s="38" t="inlineStr">
        <is>
          <t>Depends on: ADR-028 baseline</t>
        </is>
      </c>
    </row>
    <row r="103">
      <c r="A103" s="73" t="inlineStr">
        <is>
          <t>C7</t>
        </is>
      </c>
      <c r="B103" s="74" t="inlineStr">
        <is>
          <t>AI workload taxonomy + autonomy levels (forward-compat for agentic autonomy) (slice-level alignment)</t>
        </is>
      </c>
      <c r="C103" s="75" t="inlineStr">
        <is>
          <t>F22</t>
        </is>
      </c>
      <c r="D103" s="74" t="inlineStr">
        <is>
          <t>Telecheck_AI_Clinical_Assistant_Slice_PRD_v1_0.md</t>
        </is>
      </c>
      <c r="E103" s="76" t="inlineStr">
        <is>
          <t>Slice PRD</t>
        </is>
      </c>
      <c r="F103" s="74" t="inlineStr">
        <is>
          <t>AI Slice section 13 alignment with Master PRD section 13.6 + 13.7</t>
        </is>
      </c>
      <c r="G103" s="74" t="inlineStr">
        <is>
          <t>Reference update</t>
        </is>
      </c>
      <c r="H103" s="74" t="inlineStr">
        <is>
          <t>Phase 0 reconciliation: confirm AI Clinical Assistant Slice references Master PRD section 13 changes (section 13.6 marketing copy governance per ADR-027; section 13.7 workload taxonomy per ADR-029). Distinct from T2-R10 which covers section 3 architecture terminology. May require sub-section updates in Slice section 13 alignment.</t>
        </is>
      </c>
      <c r="I103" s="74" t="inlineStr">
        <is>
          <t>No</t>
        </is>
      </c>
      <c r="J103" s="74" t="inlineStr">
        <is>
          <t>Product Lead + Engineering Lead + Clinical Safety Officer</t>
        </is>
      </c>
      <c r="K103" s="75" t="inlineStr">
        <is>
          <t>B</t>
        </is>
      </c>
      <c r="L103" s="77" t="inlineStr">
        <is>
          <t>Medium</t>
        </is>
      </c>
      <c r="M103" s="78" t="inlineStr">
        <is>
          <t>Approved</t>
        </is>
      </c>
      <c r="N103" s="74" t="inlineStr">
        <is>
          <t>Phase 0 scope-reconciliation per Codex Adversarial Review MEDIUM-6 (item 2 of 7). Verify or close as out-of-scope with rationale during walk. [Phase 0 walk staging 2026-05-01: F22 AI Slice §13 alignment with Master PRD §13.6 + §13.7. Phase 0 default decision: CONFIRM. Awaiting stakeholder ratification.]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c r="O103" s="38" t="inlineStr">
        <is>
          <t>Depends on: T2-R08 (Master PRD section 13 reframe)</t>
        </is>
      </c>
    </row>
    <row r="104">
      <c r="A104" s="73" t="inlineStr">
        <is>
          <t>C4</t>
        </is>
      </c>
      <c r="B104" s="74" t="inlineStr">
        <is>
          <t>Country-conditional DTC marketing posture (new ADR-027)</t>
        </is>
      </c>
      <c r="C104" s="75" t="inlineStr">
        <is>
          <t>F-NEW-CRC</t>
        </is>
      </c>
      <c r="D104" s="74" t="inlineStr">
        <is>
          <t>Telecheck_Country_Regulatory_Contracts.md (placeholder name)</t>
        </is>
      </c>
      <c r="E104" s="76" t="inlineStr">
        <is>
          <t>Operations</t>
        </is>
      </c>
      <c r="F104" s="74" t="inlineStr">
        <is>
          <t>NEW FILE - country regulatory contract artifact</t>
        </is>
      </c>
      <c r="G104" s="74" t="inlineStr">
        <is>
          <t>New file authoring</t>
        </is>
      </c>
      <c r="H104" s="74" t="inlineStr">
        <is>
          <t>Phase 0 reconciliation: create new artifact documenting country regulatory contracts referenced in ADR-027 activation mechanism. Each emerging-market country requires regulatory engagement record (Ghana FDA + Pharmacy Council guidance; future markets analogous). Provides activation evidence for ADR-027's per-country marketing posture decisions.</t>
        </is>
      </c>
      <c r="I104" s="74" t="inlineStr">
        <is>
          <t>No</t>
        </is>
      </c>
      <c r="J104" s="74" t="inlineStr">
        <is>
          <t>Regulatory Affairs Lead + Product Lead</t>
        </is>
      </c>
      <c r="K104" s="75" t="inlineStr">
        <is>
          <t>B</t>
        </is>
      </c>
      <c r="L104" s="77" t="inlineStr">
        <is>
          <t>Medium</t>
        </is>
      </c>
      <c r="M104" s="78" t="inlineStr">
        <is>
          <t>Approved</t>
        </is>
      </c>
      <c r="N104" s="74" t="inlineStr">
        <is>
          <t>Phase 0 scope-reconciliation per Codex Adversarial Review MEDIUM-6 (item 3 of 7). Verify or close as out-of-scope with rationale during walk. [Phase 0 walk staging 2026-05-01: F-NEW-CRC Country Regulatory Contracts artifact creation. Phase 0 default decision: CONFIRM. Awaiting stakeholder ratification (Regulatory Affairs Lead + Product Lead).]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c r="O104" s="38" t="inlineStr">
        <is>
          <t>Depends on: ADR-027 baseline</t>
        </is>
      </c>
    </row>
    <row r="105">
      <c r="A105" s="73" t="inlineStr">
        <is>
          <t>C4</t>
        </is>
      </c>
      <c r="B105" s="74" t="inlineStr">
        <is>
          <t>Country-conditional DTC marketing posture (new ADR-027)</t>
        </is>
      </c>
      <c r="C105" s="75" t="inlineStr">
        <is>
          <t>F-NEW-PCG</t>
        </is>
      </c>
      <c r="D105" s="74" t="inlineStr">
        <is>
          <t>Telecheck_Pharmacy_Council_Guidance.md (placeholder name)</t>
        </is>
      </c>
      <c r="E105" s="76" t="inlineStr">
        <is>
          <t>Operations</t>
        </is>
      </c>
      <c r="F105" s="74" t="inlineStr">
        <is>
          <t>NEW FILE - Pharmacy Council guidance reference</t>
        </is>
      </c>
      <c r="G105" s="74" t="inlineStr">
        <is>
          <t>New file authoring</t>
        </is>
      </c>
      <c r="H105" s="74" t="inlineStr">
        <is>
          <t>Phase 0 reconciliation: document Pharmacy Council (Ghana) guidance referenced in ADR-027 for emerging-market dispensing/marketing intersection. Reference document only; not a contract artifact. Provides regulatory traceability for tenant-specific marketing surface logic.</t>
        </is>
      </c>
      <c r="I105" s="74" t="inlineStr">
        <is>
          <t>No</t>
        </is>
      </c>
      <c r="J105" s="74" t="inlineStr">
        <is>
          <t>Regulatory Affairs Lead + Pharmacy Operations Lead</t>
        </is>
      </c>
      <c r="K105" s="75" t="inlineStr">
        <is>
          <t>C</t>
        </is>
      </c>
      <c r="L105" s="77" t="inlineStr">
        <is>
          <t>Low</t>
        </is>
      </c>
      <c r="M105" s="78" t="inlineStr">
        <is>
          <t>Approved</t>
        </is>
      </c>
      <c r="N105" s="74" t="inlineStr">
        <is>
          <t>Phase 0 scope-reconciliation per Codex Adversarial Review MEDIUM-6 (item 4 of 7). Verify or close as out-of-scope with rationale during walk. [Phase 0 walk staging 2026-05-01: F-NEW-PCG Pharmacy Council Guidance reference. Phase 0 default decision: CONFIRM. Awaiting stakeholder ratification (Regulatory Affairs Lead + Pharmacy Operations Lead).]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c r="O105" s="38" t="inlineStr">
        <is>
          <t>Depends on: ADR-027 baseline</t>
        </is>
      </c>
    </row>
    <row r="106">
      <c r="A106" s="73" t="inlineStr">
        <is>
          <t>C5</t>
        </is>
      </c>
      <c r="B106" s="74" t="inlineStr">
        <is>
          <t>Research data partnership Posture A as Release 2 goal (new ADR-028)</t>
        </is>
      </c>
      <c r="C106" s="75" t="inlineStr">
        <is>
          <t>F-NEW-DSA</t>
        </is>
      </c>
      <c r="D106" s="74" t="inlineStr">
        <is>
          <t>Telecheck_DSA_Template.md (placeholder name)</t>
        </is>
      </c>
      <c r="E106" s="76" t="inlineStr">
        <is>
          <t>Operations</t>
        </is>
      </c>
      <c r="F106" s="74" t="inlineStr">
        <is>
          <t>NEW FILE - Data Sharing Agreement template</t>
        </is>
      </c>
      <c r="G106" s="74" t="inlineStr">
        <is>
          <t>New file authoring</t>
        </is>
      </c>
      <c r="H106" s="74" t="inlineStr">
        <is>
          <t>Phase 0 reconciliation: author DSA template referenced in ADR-028 (research data partnership Posture A) and Master PRD section 24 row 13. Legal-reviewed template for first DSA activation (Release 2). Includes data scope, de-identification standard (Safe Harbor + k-anonymity), consent provenance, audit posture, retention, partner obligations.</t>
        </is>
      </c>
      <c r="I106" s="74" t="inlineStr">
        <is>
          <t>No</t>
        </is>
      </c>
      <c r="J106" s="74" t="inlineStr">
        <is>
          <t>Legal + Privacy Officer</t>
        </is>
      </c>
      <c r="K106" s="75" t="inlineStr">
        <is>
          <t>B</t>
        </is>
      </c>
      <c r="L106" s="77" t="inlineStr">
        <is>
          <t>Medium</t>
        </is>
      </c>
      <c r="M106" s="78" t="inlineStr">
        <is>
          <t>Approved</t>
        </is>
      </c>
      <c r="N106" s="74" t="inlineStr">
        <is>
          <t>Phase 0 scope-reconciliation per Codex Adversarial Review MEDIUM-6 (item 5 of 7). Pre-launch decision per section 24 row 13. Required before first DSA activation (Release 2). Verify or close as out-of-scope with rationale during walk. [Phase 0 walk staging 2026-05-01: F-NEW-DSA DSA Template artifact. Phase 0 default decision: CONFIRM. Awaiting stakeholder ratification (Legal + Privacy Officer).]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c r="O106" s="38" t="inlineStr">
        <is>
          <t>Depends on: ADR-028 baseline</t>
        </is>
      </c>
    </row>
    <row r="107">
      <c r="A107" s="73" t="inlineStr">
        <is>
          <t>C5</t>
        </is>
      </c>
      <c r="B107" s="74" t="inlineStr">
        <is>
          <t>Research data partnership Posture A as Release 2 goal (new ADR-028)</t>
        </is>
      </c>
      <c r="C107" s="75" t="inlineStr">
        <is>
          <t>F-NEW-REC</t>
        </is>
      </c>
      <c r="D107" s="74" t="inlineStr">
        <is>
          <t>Telecheck_REC_IRB_Engagement.md (placeholder name)</t>
        </is>
      </c>
      <c r="E107" s="76" t="inlineStr">
        <is>
          <t>Operations</t>
        </is>
      </c>
      <c r="F107" s="74" t="inlineStr">
        <is>
          <t>NEW FILE - REC/IRB partnership designation</t>
        </is>
      </c>
      <c r="G107" s="74" t="inlineStr">
        <is>
          <t>New file authoring</t>
        </is>
      </c>
      <c r="H107" s="74" t="inlineStr">
        <is>
          <t>Phase 0 reconciliation: document Research Ethics Committee (REC) / IRB partnership designation per Master PRD section 24 row 11. Ghana GHS REC or Noguchi Memorial Institute IRB to be engaged for research data partnership activation (ADR-028, Release 2). Strategic dependency for Release 2.</t>
        </is>
      </c>
      <c r="I107" s="74" t="inlineStr">
        <is>
          <t>No</t>
        </is>
      </c>
      <c r="J107" s="74" t="inlineStr">
        <is>
          <t>Privacy Officer + Telecheck-Ghana team + Regulatory Affairs Lead</t>
        </is>
      </c>
      <c r="K107" s="75" t="inlineStr">
        <is>
          <t>B</t>
        </is>
      </c>
      <c r="L107" s="77" t="inlineStr">
        <is>
          <t>Medium</t>
        </is>
      </c>
      <c r="M107" s="78" t="inlineStr">
        <is>
          <t>Approved</t>
        </is>
      </c>
      <c r="N107" s="74" t="inlineStr">
        <is>
          <t>Phase 0 scope-reconciliation per Codex Adversarial Review MEDIUM-6 (item 6 of 7). Pre-launch decision per section 24 row 11. Verify or close as out-of-scope with rationale during walk. [Phase 0 walk staging 2026-05-01: F-NEW-REC REC/IRB Engagement deliverable. Phase 0 default decision: CONFIRM. Awaiting stakeholder ratification (Privacy Officer + Telecheck-Ghana team + Regulatory Affairs Lead).]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c r="O107" s="38" t="inlineStr">
        <is>
          <t>Depends on: ADR-028 baseline</t>
        </is>
      </c>
    </row>
    <row r="108">
      <c r="A108" s="73" t="inlineStr">
        <is>
          <t>C3</t>
        </is>
      </c>
      <c r="B108" s="74" t="inlineStr">
        <is>
          <t>Brand structure + tenant identifier rename (DIC v1.0 -&gt; v1.1 fold-in, Evans Option B 2026-04-28)</t>
        </is>
      </c>
      <c r="C108" s="75" t="inlineStr">
        <is>
          <t>F49</t>
        </is>
      </c>
      <c r="D108" s="74" t="inlineStr">
        <is>
          <t>Telecheck_Design_Implementation_Contract_v1_0.md</t>
        </is>
      </c>
      <c r="E108" s="76" t="inlineStr">
        <is>
          <t>Design</t>
        </is>
      </c>
      <c r="F108" s="74" t="inlineStr">
        <is>
          <t>DIC v1.0 -&gt; v1.1 promotion (status header + content updates + brand variations)</t>
        </is>
      </c>
      <c r="G108" s="74" t="inlineStr">
        <is>
          <t>Section rewrite</t>
        </is>
      </c>
      <c r="H108" s="74" t="inlineStr">
        <is>
          <t>Bump DIC v1.0 -&gt; v1.1 with status flip from PROVISIONAL to 'Canonical for development' (per Evans Option B 2026-04-28; design handoff received at telecheck-design-system/ with Patient mock v7 authoritative). Required design-file content updated: brand variations should be Heros Health (US) + Heros Health Ghana (subdomain) + at least one third-party tenant brand. Activate sections 4.1/4.2 pixel-exact-match clauses. Carry forward substitution flags (Manrope, Lucide, wordmark, photography placeholders). File rename: _v1_0.md -&gt; _v1_1.md. Cascade: 33 cross-references across 12 files. Phase 6 promotion entries cover Registry, Active Document Index, Promotion Ledger (P-008) updates.</t>
        </is>
      </c>
      <c r="I108" s="74" t="inlineStr">
        <is>
          <t>Yes - cascades to Active Document Index, Artifact Registry, Promotion Ledger (P-008), Boot Sequence, 9 cross-referencing files</t>
        </is>
      </c>
      <c r="J108" s="74" t="inlineStr">
        <is>
          <t>Design Lead + Product Lead + Engineering Lead</t>
        </is>
      </c>
      <c r="K108" s="75" t="inlineStr">
        <is>
          <t>B</t>
        </is>
      </c>
      <c r="L108" s="77" t="inlineStr">
        <is>
          <t>High</t>
        </is>
      </c>
      <c r="M108" s="78" t="inlineStr">
        <is>
          <t>Approved</t>
        </is>
      </c>
      <c r="N108" s="74" t="inlineStr">
        <is>
          <t>Phase 0 scope-reconciliation per Codex Adversarial Review MEDIUM-6 (item 7 of 7). Per Evans Option B 2026-04-28 fold-in directive. Combined with C3 brand-structure cascade per Adversarial Review Finding 1 (DIC was named as missing matrix file). [Phase 0 walk staging 2026-05-01: F49 DIC v1.0 -&gt; v1.1 fold-in. Phase 0 decision: CONFIRMED per Evans Option B 2026-04-28 directive (already authorized; not subject to walk veto). Stakeholder ratification at convening is procedural confirmation, not substantive review.] [Phase 5 APPROVED 2026-05-01 per Codex Phase 5 EXIT v0.1 verification (0 HIGH / 0 MEDIUM, CLOSED on first fire — fastest convergence in workstream history). Single-fire close + 1 LOW non-blocking wording fix applied (C3 slice heading 5 → 4 actual matrix rows). Approval: workstream lead (Evans) via Claude proxy; stakeholder dual-control sign-off (Engineering Lead + Product Lead + Clinical Safety Officer + Privacy Officer per I-015) async-ratified per Phase 0 ballot path. Per Phase5_Slice_Engineering_Operations_Delta_2026-05-01.md, edits land canonically at Phase 6 promotion in the respective bundle file. Phase 5 covered 70 matrix rows across 6 groups (5A Slice PRDs / 5B Engineering specs / 5C DIC + Design / 5D OR Tracker / 5E Other docs / 5F Country regulatory placeholders).]</t>
        </is>
      </c>
      <c r="O108" s="38" t="inlineStr">
        <is>
          <t>Depends on: C3 brand-structure rows; Phase 5.6 work; Phase 6 promotion artifacts</t>
        </is>
      </c>
    </row>
    <row r="109">
      <c r="A109" s="38" t="inlineStr">
        <is>
          <t>WALK-STATUS</t>
        </is>
      </c>
      <c r="B109" s="38" t="inlineStr">
        <is>
          <t>Phase 0 walk-staging marker (non-data row)</t>
        </is>
      </c>
      <c r="N109" s="38" t="inlineStr">
        <is>
          <t>Phase 0 walk-staging completed 2026-05-01 by workstream lead (Evans, via Claude proxy). Audit-B pairings ASYNC-RATIFIED 2026-05-01 per Evans's directive; 20 rows now carry final dual-control pairs in Approval Owner column (rows 3, 16, 25, 27, 28, 31, 33, 54, 55, 56, 65, 66, 70, 71, 72, 74, 81, 82, 88, 90). Pairings follow planning freeze v1.5 §3 Phase 0 deterministic pairing rules. Stakeholder explicit signatures may follow per Phase0_Audit_B_Pairing_Ballot.md; current state is workstream-lead-attested ratification. Phase 1 pre-staged: F13 Glossary (4 rows) + F02 ADR Set (3 rows) marked 'Edited' status with drafts referenced. Phase 0 ready for Codex re-fire to attempt clean exit. | Phase 2.X (glossary final approval reconciliation) CLOSED 2026-05-01: F13 rows 4, 18, 53, 67 moved Edited -&gt; Approved per Codex Phase 2.X v0.2 verification (no HIGH/MEDIUM). Master PRD §13.2 cleaned up to remove stale §13.5/§13.6 self-references; §13.7 patched in v0.3 per Phase 2 mid-cycle Codex review (I-012 reject-unless tightening + fully_autonomous strict-superset). Phase 2 next-step: remaining Master PRD section edits per matrix walk follow-ons; then Phase 2 exit Codex fire. | Phase 2 (Master PRD canonicalization) CLOSED 2026-05-01: 7 Master PRD rows (2, 6, 17, 46, 57, 82, 99 = C1-C7) advanced Not started -&gt; Approved per Codex Phase 2 EXIT v0.3 verification. Convergence: v0.1 (1 HIGH + 3 MEDIUM) -&gt; v0.2 (0 HIGH + 1 residual MEDIUM-1) -&gt; v0.3 (0 HIGH + 0 MEDIUM, CLOSED). Patches applied: Heros migration scope cleanup (§5.2 + §6 timeline + §12 + §19 Phase 2); C3 brand normalization (15+ Heros-&gt;Telecheck-US tenant operator edits across §1, §2, §6, §10.1, §11, §17, §18, §19, §22, §23, §24, §25); §24 row 18 enum cleanup; §25 Q13 reframed; entity-alias cleanup with §17 carve-out note. Phase 3 (Contracts Pack edits) begins next. | Phase 3 group-1 (INVARIANTS + AUDIT_EVENTS + WORKLOAD_TAXONOMY + AUTONOMY_LEVELS) APPROVED 2026-05-01: 6 rows (54, 64, 69, 92, 95, 96) advanced Not started -&gt; Approved per Codex Phase 3 group-1 v0.3 verification (0 HIGH / 0 MEDIUM). Convergence: v0.1 (1 HIGH + 5 MEDIUM) -&gt; v0.2 (1 HIGH carry-forward in research.export_completed payload) -&gt; v0.3 (CLOSED). v1.10 contract version target: v5.2. Phase 3 next group: TYPES + CCR_RUNTIME + GLOSSARY + AI_LAYERING (where canonical sources have edits). | Phase 3 group-2 (TYPES + CCR_RUNTIME + GLOSSARY + AI_LAYERING) APPROVED 2026-05-01: 7 rows (38, 49, 62, 66, 85, 93, 94) advanced Not started -&gt; Approved per Codex Phase 3 group-2 v0.3 verification (0 HIGH / 0 MEDIUM). Convergence: v0.1 (2 HIGH + 4 MEDIUM) -&gt; v0.2 (1 residual MEDIUM-4 count inconsistency) -&gt; v0.3 (CLOSED). Phase 3 next group: DOMAIN_EVENTS + ERROR_MODEL + IDEMPOTENCY + FORMS_ENGINE + MARKET_LAUNCH + GOVERNANCE_CONTROLS. | Phase 3 group-3 (DOMAIN_EVENTS + FORMS_ENGINE + MARKET_LAUNCH + GOVERNANCE_CONTROLS) APPROVED 2026-05-01: 5 rows (63, 65, 68, 83, 84) advanced Not started -&gt; Approved per Codex Phase 3 group-3 v0.2 verification (0 HIGH / 0 MEDIUM). Convergence: v0.1 (2 HIGH + 3 MEDIUM) -&gt; v0.2 (CLOSED). All Phase 3 contract groups complete (group-1: 6 rows; group-2: 7 rows; group-3: 5 rows; total 18 contract rows + 4 F13 glossary rows from Phase 2.X = 22 contract-related rows Approved). Phase 3 EXIT Codex review pending. | Phase 4 (Final ADR text canonicalization) CLOSED 2026-05-01: 8 ADR-related rows (3, 36, 37, 47, 48, 58, 59, 100) advanced to Approved per Codex Phase 4 EXIT v0.2 verification (0 HIGH / 0 MEDIUM). Convergence: v0.1 (4 residual hits) -&gt; v0.2 (CLOSED). All 3 v1.10 ADRs Phase-4-propagation-ready: ADR-027 v0.6, ADR-028 v0.5, ADR-029 v0.4. F02 ADR Set Index Entries v1.1 reflects current draft versions. Phase 5 (slice PRDs) begins next.</t>
        </is>
      </c>
    </row>
  </sheetData>
  <autoFilter ref="A1:N91"/>
  <dataValidations count="1">
    <dataValidation sqref="M2:M108" showDropDown="0" showInputMessage="0" showErrorMessage="1" allowBlank="1" errorTitle="Invalid status" error="Status must be one of: Not started, In progress, Edited, Reviewed, Approved, Revalidation required" type="list">
      <formula1>"Not started,In progress,Edited,Reviewed,Approved,Revalidation required"</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38" min="1" max="1"/>
    <col width="42" customWidth="1" style="38" min="2" max="2"/>
    <col width="14" customWidth="1" style="38" min="3" max="3"/>
    <col width="12" customWidth="1" style="38" min="4" max="4"/>
    <col width="14" customWidth="1" style="38" min="5" max="5"/>
    <col width="12" customWidth="1" style="38" min="6" max="6"/>
    <col width="14" customWidth="1" style="38" min="7" max="7"/>
    <col width="18" customWidth="1" style="38" min="8" max="8"/>
  </cols>
  <sheetData>
    <row r="1" ht="17.35" customHeight="1" s="39">
      <c r="A1" s="40" t="inlineStr">
        <is>
          <t>Rollup by change — blast radius per v1.10 change</t>
        </is>
      </c>
    </row>
    <row r="3" ht="15" customHeight="1" s="39">
      <c r="A3" s="59" t="inlineStr">
        <is>
          <t>Change ID</t>
        </is>
      </c>
      <c r="B3" s="59" t="inlineStr">
        <is>
          <t>Change Name</t>
        </is>
      </c>
      <c r="C3" s="59" t="inlineStr">
        <is>
          <t>Files Touched</t>
        </is>
      </c>
      <c r="D3" s="59" t="inlineStr">
        <is>
          <t>High Risk</t>
        </is>
      </c>
      <c r="E3" s="59" t="inlineStr">
        <is>
          <t>Medium Risk</t>
        </is>
      </c>
      <c r="F3" s="59" t="inlineStr">
        <is>
          <t>Low Risk</t>
        </is>
      </c>
      <c r="G3" s="59" t="inlineStr">
        <is>
          <t>Audit B Items</t>
        </is>
      </c>
      <c r="H3" s="59" t="inlineStr">
        <is>
          <t>Status (Not started)</t>
        </is>
      </c>
    </row>
    <row r="4" ht="49.5" customHeight="1" s="39">
      <c r="A4" s="73" t="inlineStr">
        <is>
          <t>C1</t>
        </is>
      </c>
      <c r="B4" s="74" t="inlineStr">
        <is>
          <t>§21 Non-goals regulatory-conditional rewrite</t>
        </is>
      </c>
      <c r="C4" s="76">
        <f>COUNTIF(Matrix!A2:A91,"C1")</f>
        <v/>
      </c>
      <c r="D4" s="76">
        <f>COUNTIFS(Matrix!A2:A91,"C1",Matrix!L2:L91,"High")</f>
        <v/>
      </c>
      <c r="E4" s="76">
        <f>COUNTIFS(Matrix!A2:A91,"C1",Matrix!L2:L91,"Medium")</f>
        <v/>
      </c>
      <c r="F4" s="76">
        <f>COUNTIFS(Matrix!A2:A91,"C1",Matrix!L2:L91,"Low")</f>
        <v/>
      </c>
      <c r="G4" s="76">
        <f>COUNTIFS(Matrix!A2:A91,"C1",Matrix!K2:K91,"B")</f>
        <v/>
      </c>
      <c r="H4" s="76">
        <f>COUNTIFS(Matrix!A2:A91,"C1",Matrix!M2:M91,"Not started")</f>
        <v/>
      </c>
    </row>
    <row r="5" ht="49.5" customHeight="1" s="39">
      <c r="A5" s="67" t="inlineStr">
        <is>
          <t>C2</t>
        </is>
      </c>
      <c r="B5" s="74" t="inlineStr">
        <is>
          <t>Emerging-markets framing reframe</t>
        </is>
      </c>
      <c r="C5" s="76">
        <f>COUNTIF(Matrix!A2:A91,"C2")</f>
        <v/>
      </c>
      <c r="D5" s="76">
        <f>COUNTIFS(Matrix!A2:A91,"C2",Matrix!L2:L91,"High")</f>
        <v/>
      </c>
      <c r="E5" s="76">
        <f>COUNTIFS(Matrix!A2:A91,"C2",Matrix!L2:L91,"Medium")</f>
        <v/>
      </c>
      <c r="F5" s="76">
        <f>COUNTIFS(Matrix!A2:A91,"C2",Matrix!L2:L91,"Low")</f>
        <v/>
      </c>
      <c r="G5" s="76">
        <f>COUNTIFS(Matrix!A2:A91,"C2",Matrix!K2:K91,"B")</f>
        <v/>
      </c>
      <c r="H5" s="76">
        <f>COUNTIFS(Matrix!A2:A91,"C2",Matrix!M2:M91,"Not started")</f>
        <v/>
      </c>
    </row>
    <row r="6" ht="49.5" customHeight="1" s="39">
      <c r="A6" s="69" t="inlineStr">
        <is>
          <t>C3</t>
        </is>
      </c>
      <c r="B6" s="74" t="inlineStr">
        <is>
          <t>Brand structure (Heros as global consumer brand; uniform Telecheck-prefix tenant naming)</t>
        </is>
      </c>
      <c r="C6" s="76">
        <f>COUNTIF(Matrix!A2:A91,"C3")</f>
        <v/>
      </c>
      <c r="D6" s="76">
        <f>COUNTIFS(Matrix!A2:A91,"C3",Matrix!L2:L91,"High")</f>
        <v/>
      </c>
      <c r="E6" s="76">
        <f>COUNTIFS(Matrix!A2:A91,"C3",Matrix!L2:L91,"Medium")</f>
        <v/>
      </c>
      <c r="F6" s="76">
        <f>COUNTIFS(Matrix!A2:A91,"C3",Matrix!L2:L91,"Low")</f>
        <v/>
      </c>
      <c r="G6" s="76">
        <f>COUNTIFS(Matrix!A2:A91,"C3",Matrix!K2:K91,"B")</f>
        <v/>
      </c>
      <c r="H6" s="76">
        <f>COUNTIFS(Matrix!A2:A91,"C3",Matrix!M2:M91,"Not started")</f>
        <v/>
      </c>
    </row>
    <row r="7" ht="49.5" customHeight="1" s="39">
      <c r="A7" s="70" t="inlineStr">
        <is>
          <t>C4</t>
        </is>
      </c>
      <c r="B7" s="74" t="inlineStr">
        <is>
          <t>DTC marketing posture (country-conditional)</t>
        </is>
      </c>
      <c r="C7" s="76">
        <f>COUNTIF(Matrix!A2:A91,"C4")</f>
        <v/>
      </c>
      <c r="D7" s="76">
        <f>COUNTIFS(Matrix!A2:A91,"C4",Matrix!L2:L91,"High")</f>
        <v/>
      </c>
      <c r="E7" s="76">
        <f>COUNTIFS(Matrix!A2:A91,"C4",Matrix!L2:L91,"Medium")</f>
        <v/>
      </c>
      <c r="F7" s="76">
        <f>COUNTIFS(Matrix!A2:A91,"C4",Matrix!L2:L91,"Low")</f>
        <v/>
      </c>
      <c r="G7" s="76">
        <f>COUNTIFS(Matrix!A2:A91,"C4",Matrix!K2:K91,"B")</f>
        <v/>
      </c>
      <c r="H7" s="76">
        <f>COUNTIFS(Matrix!A2:A91,"C4",Matrix!M2:M91,"Not started")</f>
        <v/>
      </c>
    </row>
    <row r="8" ht="49.5" customHeight="1" s="39">
      <c r="A8" s="71" t="inlineStr">
        <is>
          <t>C5</t>
        </is>
      </c>
      <c r="B8" s="74" t="inlineStr">
        <is>
          <t>Research data partnership (Posture A as Release 2 goal; Telecheck parent level)</t>
        </is>
      </c>
      <c r="C8" s="76">
        <f>COUNTIF(Matrix!A2:A91,"C5")</f>
        <v/>
      </c>
      <c r="D8" s="76">
        <f>COUNTIFS(Matrix!A2:A91,"C5",Matrix!L2:L91,"High")</f>
        <v/>
      </c>
      <c r="E8" s="76">
        <f>COUNTIFS(Matrix!A2:A91,"C5",Matrix!L2:L91,"Medium")</f>
        <v/>
      </c>
      <c r="F8" s="76">
        <f>COUNTIFS(Matrix!A2:A91,"C5",Matrix!L2:L91,"Low")</f>
        <v/>
      </c>
      <c r="G8" s="76">
        <f>COUNTIFS(Matrix!A2:A91,"C5",Matrix!K2:K91,"B")</f>
        <v/>
      </c>
      <c r="H8" s="76">
        <f>COUNTIFS(Matrix!A2:A91,"C5",Matrix!M2:M91,"Not started")</f>
        <v/>
      </c>
    </row>
    <row r="9" ht="49.5" customHeight="1" s="39">
      <c r="A9" s="72" t="inlineStr">
        <is>
          <t>C6</t>
        </is>
      </c>
      <c r="B9" s="74" t="inlineStr">
        <is>
          <t>Program catalog architecture canonicalization (Design 1)</t>
        </is>
      </c>
      <c r="C9" s="76">
        <f>COUNTIF(Matrix!A2:A91,"C6")</f>
        <v/>
      </c>
      <c r="D9" s="76">
        <f>COUNTIFS(Matrix!A2:A91,"C6",Matrix!L2:L91,"High")</f>
        <v/>
      </c>
      <c r="E9" s="76">
        <f>COUNTIFS(Matrix!A2:A91,"C6",Matrix!L2:L91,"Medium")</f>
        <v/>
      </c>
      <c r="F9" s="76">
        <f>COUNTIFS(Matrix!A2:A91,"C6",Matrix!L2:L91,"Low")</f>
        <v/>
      </c>
      <c r="G9" s="76">
        <f>COUNTIFS(Matrix!A2:A91,"C6",Matrix!K2:K91,"B")</f>
        <v/>
      </c>
      <c r="H9" s="76">
        <f>COUNTIFS(Matrix!A2:A91,"C6",Matrix!M2:M91,"Not started")</f>
        <v/>
      </c>
    </row>
    <row r="10" ht="15" customHeight="1" s="39">
      <c r="A10" s="75" t="inlineStr">
        <is>
          <t>TOTAL</t>
        </is>
      </c>
      <c r="B10" s="79" t="n"/>
      <c r="C10" s="75">
        <f>SUM(C4:C9)</f>
        <v/>
      </c>
      <c r="D10" s="75">
        <f>SUM(D4:D9)</f>
        <v/>
      </c>
      <c r="E10" s="75">
        <f>SUM(E4:E9)</f>
        <v/>
      </c>
      <c r="F10" s="75">
        <f>SUM(F4:F9)</f>
        <v/>
      </c>
      <c r="G10" s="75">
        <f>SUM(G4:G9)</f>
        <v/>
      </c>
      <c r="H10" s="75">
        <f>SUM(H4:H9)</f>
        <v/>
      </c>
    </row>
  </sheetData>
  <mergeCells count="1">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J4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38" min="1" max="1"/>
    <col width="50" customWidth="1" style="38" min="2" max="2"/>
    <col width="12" customWidth="1" style="38" min="3" max="3"/>
    <col width="14" customWidth="1" style="38" min="4" max="4"/>
    <col width="6" customWidth="1" style="38" min="5" max="10"/>
  </cols>
  <sheetData>
    <row r="1" ht="17.35" customHeight="1" s="39">
      <c r="A1" s="40" t="inlineStr">
        <is>
          <t>Rollup by file — which files are touched and by what</t>
        </is>
      </c>
    </row>
    <row r="3" ht="15" customHeight="1" s="39">
      <c r="A3" s="59" t="inlineStr">
        <is>
          <t>File ID</t>
        </is>
      </c>
      <c r="B3" s="59" t="inlineStr">
        <is>
          <t>File Name</t>
        </is>
      </c>
      <c r="C3" s="59" t="inlineStr">
        <is>
          <t>Category</t>
        </is>
      </c>
      <c r="D3" s="59" t="inlineStr">
        <is>
          <t>Total Changes</t>
        </is>
      </c>
      <c r="E3" s="59" t="inlineStr">
        <is>
          <t>C1</t>
        </is>
      </c>
      <c r="F3" s="59" t="inlineStr">
        <is>
          <t>C2</t>
        </is>
      </c>
      <c r="G3" s="59" t="inlineStr">
        <is>
          <t>C3</t>
        </is>
      </c>
      <c r="H3" s="59" t="inlineStr">
        <is>
          <t>C4</t>
        </is>
      </c>
      <c r="I3" s="59" t="inlineStr">
        <is>
          <t>C5</t>
        </is>
      </c>
      <c r="J3" s="59" t="inlineStr">
        <is>
          <t>C6</t>
        </is>
      </c>
    </row>
    <row r="4" ht="31.5" customHeight="1" s="39">
      <c r="A4" s="75" t="inlineStr">
        <is>
          <t>F01</t>
        </is>
      </c>
      <c r="B4" s="74" t="inlineStr">
        <is>
          <t>Telecheck_Master_Platform_PRD_v1_9.md</t>
        </is>
      </c>
      <c r="C4" s="76" t="inlineStr">
        <is>
          <t>Master PRD</t>
        </is>
      </c>
      <c r="D4" s="80">
        <f>COUNTIF(Matrix!C2:C91,"F01")</f>
        <v/>
      </c>
      <c r="E4" s="81">
        <f>IF(COUNTIFS(Matrix!A2:A91,"C1",Matrix!C2:C91,"F01")&gt;0,"●","")</f>
        <v/>
      </c>
      <c r="F4" s="81">
        <f>IF(COUNTIFS(Matrix!A2:A91,"C2",Matrix!C2:C91,"F01")&gt;0,"●","")</f>
        <v/>
      </c>
      <c r="G4" s="81">
        <f>IF(COUNTIFS(Matrix!A2:A91,"C3",Matrix!C2:C91,"F01")&gt;0,"●","")</f>
        <v/>
      </c>
      <c r="H4" s="81">
        <f>IF(COUNTIFS(Matrix!A2:A91,"C4",Matrix!C2:C91,"F01")&gt;0,"●","")</f>
        <v/>
      </c>
      <c r="I4" s="81">
        <f>IF(COUNTIFS(Matrix!A2:A91,"C5",Matrix!C2:C91,"F01")&gt;0,"●","")</f>
        <v/>
      </c>
      <c r="J4" s="81">
        <f>IF(COUNTIFS(Matrix!A2:A91,"C6",Matrix!C2:C91,"F01")&gt;0,"●","")</f>
        <v/>
      </c>
    </row>
    <row r="5" ht="31.5" customHeight="1" s="39">
      <c r="A5" s="75" t="inlineStr">
        <is>
          <t>F02</t>
        </is>
      </c>
      <c r="B5" s="74" t="inlineStr">
        <is>
          <t>Telecheck_ADR_Set_v1_0.md</t>
        </is>
      </c>
      <c r="C5" s="76" t="inlineStr">
        <is>
          <t>ADR</t>
        </is>
      </c>
      <c r="D5" s="80">
        <f>COUNTIF(Matrix!C2:C91,"F02")</f>
        <v/>
      </c>
      <c r="E5" s="81">
        <f>IF(COUNTIFS(Matrix!A2:A91,"C1",Matrix!C2:C91,"F02")&gt;0,"●","")</f>
        <v/>
      </c>
      <c r="F5" s="81">
        <f>IF(COUNTIFS(Matrix!A2:A91,"C2",Matrix!C2:C91,"F02")&gt;0,"●","")</f>
        <v/>
      </c>
      <c r="G5" s="81">
        <f>IF(COUNTIFS(Matrix!A2:A91,"C3",Matrix!C2:C91,"F02")&gt;0,"●","")</f>
        <v/>
      </c>
      <c r="H5" s="81">
        <f>IF(COUNTIFS(Matrix!A2:A91,"C4",Matrix!C2:C91,"F02")&gt;0,"●","")</f>
        <v/>
      </c>
      <c r="I5" s="81">
        <f>IF(COUNTIFS(Matrix!A2:A91,"C5",Matrix!C2:C91,"F02")&gt;0,"●","")</f>
        <v/>
      </c>
      <c r="J5" s="81">
        <f>IF(COUNTIFS(Matrix!A2:A91,"C6",Matrix!C2:C91,"F02")&gt;0,"●","")</f>
        <v/>
      </c>
    </row>
    <row r="6" ht="31.5" customHeight="1" s="39">
      <c r="A6" s="75" t="inlineStr">
        <is>
          <t>F04</t>
        </is>
      </c>
      <c r="B6" s="74" t="inlineStr">
        <is>
          <t>Telecheck_ADR_Addendum_020_to_025.md</t>
        </is>
      </c>
      <c r="C6" s="76" t="inlineStr">
        <is>
          <t>ADR</t>
        </is>
      </c>
      <c r="D6" s="80">
        <f>COUNTIF(Matrix!C2:C91,"F04")</f>
        <v/>
      </c>
      <c r="E6" s="81">
        <f>IF(COUNTIFS(Matrix!A2:A91,"C1",Matrix!C2:C91,"F04")&gt;0,"●","")</f>
        <v/>
      </c>
      <c r="F6" s="81">
        <f>IF(COUNTIFS(Matrix!A2:A91,"C2",Matrix!C2:C91,"F04")&gt;0,"●","")</f>
        <v/>
      </c>
      <c r="G6" s="81">
        <f>IF(COUNTIFS(Matrix!A2:A91,"C3",Matrix!C2:C91,"F04")&gt;0,"●","")</f>
        <v/>
      </c>
      <c r="H6" s="81">
        <f>IF(COUNTIFS(Matrix!A2:A91,"C4",Matrix!C2:C91,"F04")&gt;0,"●","")</f>
        <v/>
      </c>
      <c r="I6" s="81">
        <f>IF(COUNTIFS(Matrix!A2:A91,"C5",Matrix!C2:C91,"F04")&gt;0,"●","")</f>
        <v/>
      </c>
      <c r="J6" s="81">
        <f>IF(COUNTIFS(Matrix!A2:A91,"C6",Matrix!C2:C91,"F04")&gt;0,"●","")</f>
        <v/>
      </c>
    </row>
    <row r="7" ht="31.5" customHeight="1" s="39">
      <c r="A7" s="75" t="inlineStr">
        <is>
          <t>F05</t>
        </is>
      </c>
      <c r="B7" s="74" t="inlineStr">
        <is>
          <t>Telecheck_ADR_Addendum_026.md</t>
        </is>
      </c>
      <c r="C7" s="76" t="inlineStr">
        <is>
          <t>ADR</t>
        </is>
      </c>
      <c r="D7" s="80">
        <f>COUNTIF(Matrix!C2:C91,"F05")</f>
        <v/>
      </c>
      <c r="E7" s="81">
        <f>IF(COUNTIFS(Matrix!A2:A91,"C1",Matrix!C2:C91,"F05")&gt;0,"●","")</f>
        <v/>
      </c>
      <c r="F7" s="81">
        <f>IF(COUNTIFS(Matrix!A2:A91,"C2",Matrix!C2:C91,"F05")&gt;0,"●","")</f>
        <v/>
      </c>
      <c r="G7" s="81">
        <f>IF(COUNTIFS(Matrix!A2:A91,"C3",Matrix!C2:C91,"F05")&gt;0,"●","")</f>
        <v/>
      </c>
      <c r="H7" s="81">
        <f>IF(COUNTIFS(Matrix!A2:A91,"C4",Matrix!C2:C91,"F05")&gt;0,"●","")</f>
        <v/>
      </c>
      <c r="I7" s="81">
        <f>IF(COUNTIFS(Matrix!A2:A91,"C5",Matrix!C2:C91,"F05")&gt;0,"●","")</f>
        <v/>
      </c>
      <c r="J7" s="81">
        <f>IF(COUNTIFS(Matrix!A2:A91,"C6",Matrix!C2:C91,"F05")&gt;0,"●","")</f>
        <v/>
      </c>
    </row>
    <row r="8" ht="31.5" customHeight="1" s="39">
      <c r="A8" s="75" t="inlineStr">
        <is>
          <t>F08</t>
        </is>
      </c>
      <c r="B8" s="74" t="inlineStr">
        <is>
          <t>Telecheck_Contracts_Pack_v5_00_AUDIT_EVENTS.md</t>
        </is>
      </c>
      <c r="C8" s="76" t="inlineStr">
        <is>
          <t>Contracts</t>
        </is>
      </c>
      <c r="D8" s="80">
        <f>COUNTIF(Matrix!C2:C91,"F08")</f>
        <v/>
      </c>
      <c r="E8" s="81">
        <f>IF(COUNTIFS(Matrix!A2:A91,"C1",Matrix!C2:C91,"F08")&gt;0,"●","")</f>
        <v/>
      </c>
      <c r="F8" s="81">
        <f>IF(COUNTIFS(Matrix!A2:A91,"C2",Matrix!C2:C91,"F08")&gt;0,"●","")</f>
        <v/>
      </c>
      <c r="G8" s="81">
        <f>IF(COUNTIFS(Matrix!A2:A91,"C3",Matrix!C2:C91,"F08")&gt;0,"●","")</f>
        <v/>
      </c>
      <c r="H8" s="81">
        <f>IF(COUNTIFS(Matrix!A2:A91,"C4",Matrix!C2:C91,"F08")&gt;0,"●","")</f>
        <v/>
      </c>
      <c r="I8" s="81">
        <f>IF(COUNTIFS(Matrix!A2:A91,"C5",Matrix!C2:C91,"F08")&gt;0,"●","")</f>
        <v/>
      </c>
      <c r="J8" s="81">
        <f>IF(COUNTIFS(Matrix!A2:A91,"C6",Matrix!C2:C91,"F08")&gt;0,"●","")</f>
        <v/>
      </c>
    </row>
    <row r="9" ht="31.5" customHeight="1" s="39">
      <c r="A9" s="75" t="inlineStr">
        <is>
          <t>F09</t>
        </is>
      </c>
      <c r="B9" s="74" t="inlineStr">
        <is>
          <t>Telecheck_Contracts_Pack_v5_00_CCR_RUNTIME.md</t>
        </is>
      </c>
      <c r="C9" s="76" t="inlineStr">
        <is>
          <t>Contracts</t>
        </is>
      </c>
      <c r="D9" s="80">
        <f>COUNTIF(Matrix!C2:C91,"F09")</f>
        <v/>
      </c>
      <c r="E9" s="81">
        <f>IF(COUNTIFS(Matrix!A2:A91,"C1",Matrix!C2:C91,"F09")&gt;0,"●","")</f>
        <v/>
      </c>
      <c r="F9" s="81">
        <f>IF(COUNTIFS(Matrix!A2:A91,"C2",Matrix!C2:C91,"F09")&gt;0,"●","")</f>
        <v/>
      </c>
      <c r="G9" s="81">
        <f>IF(COUNTIFS(Matrix!A2:A91,"C3",Matrix!C2:C91,"F09")&gt;0,"●","")</f>
        <v/>
      </c>
      <c r="H9" s="81">
        <f>IF(COUNTIFS(Matrix!A2:A91,"C4",Matrix!C2:C91,"F09")&gt;0,"●","")</f>
        <v/>
      </c>
      <c r="I9" s="81">
        <f>IF(COUNTIFS(Matrix!A2:A91,"C5",Matrix!C2:C91,"F09")&gt;0,"●","")</f>
        <v/>
      </c>
      <c r="J9" s="81">
        <f>IF(COUNTIFS(Matrix!A2:A91,"C6",Matrix!C2:C91,"F09")&gt;0,"●","")</f>
        <v/>
      </c>
    </row>
    <row r="10" ht="31.5" customHeight="1" s="39">
      <c r="A10" s="75" t="inlineStr">
        <is>
          <t>F10</t>
        </is>
      </c>
      <c r="B10" s="74" t="inlineStr">
        <is>
          <t>Telecheck_Contracts_Pack_v5_00_DOMAIN_EVENTS.md</t>
        </is>
      </c>
      <c r="C10" s="76" t="inlineStr">
        <is>
          <t>Contracts</t>
        </is>
      </c>
      <c r="D10" s="80">
        <f>COUNTIF(Matrix!C2:C91,"F10")</f>
        <v/>
      </c>
      <c r="E10" s="81">
        <f>IF(COUNTIFS(Matrix!A2:A91,"C1",Matrix!C2:C91,"F10")&gt;0,"●","")</f>
        <v/>
      </c>
      <c r="F10" s="81">
        <f>IF(COUNTIFS(Matrix!A2:A91,"C2",Matrix!C2:C91,"F10")&gt;0,"●","")</f>
        <v/>
      </c>
      <c r="G10" s="81">
        <f>IF(COUNTIFS(Matrix!A2:A91,"C3",Matrix!C2:C91,"F10")&gt;0,"●","")</f>
        <v/>
      </c>
      <c r="H10" s="81">
        <f>IF(COUNTIFS(Matrix!A2:A91,"C4",Matrix!C2:C91,"F10")&gt;0,"●","")</f>
        <v/>
      </c>
      <c r="I10" s="81">
        <f>IF(COUNTIFS(Matrix!A2:A91,"C5",Matrix!C2:C91,"F10")&gt;0,"●","")</f>
        <v/>
      </c>
      <c r="J10" s="81">
        <f>IF(COUNTIFS(Matrix!A2:A91,"C6",Matrix!C2:C91,"F10")&gt;0,"●","")</f>
        <v/>
      </c>
    </row>
    <row r="11" ht="31.5" customHeight="1" s="39">
      <c r="A11" s="75" t="inlineStr">
        <is>
          <t>F12</t>
        </is>
      </c>
      <c r="B11" s="74" t="inlineStr">
        <is>
          <t>Telecheck_Contracts_Pack_v5_00_FORMS_ENGINE.md</t>
        </is>
      </c>
      <c r="C11" s="76" t="inlineStr">
        <is>
          <t>Contracts</t>
        </is>
      </c>
      <c r="D11" s="80">
        <f>COUNTIF(Matrix!C2:C91,"F12")</f>
        <v/>
      </c>
      <c r="E11" s="81">
        <f>IF(COUNTIFS(Matrix!A2:A91,"C1",Matrix!C2:C91,"F12")&gt;0,"●","")</f>
        <v/>
      </c>
      <c r="F11" s="81">
        <f>IF(COUNTIFS(Matrix!A2:A91,"C2",Matrix!C2:C91,"F12")&gt;0,"●","")</f>
        <v/>
      </c>
      <c r="G11" s="81">
        <f>IF(COUNTIFS(Matrix!A2:A91,"C3",Matrix!C2:C91,"F12")&gt;0,"●","")</f>
        <v/>
      </c>
      <c r="H11" s="81">
        <f>IF(COUNTIFS(Matrix!A2:A91,"C4",Matrix!C2:C91,"F12")&gt;0,"●","")</f>
        <v/>
      </c>
      <c r="I11" s="81">
        <f>IF(COUNTIFS(Matrix!A2:A91,"C5",Matrix!C2:C91,"F12")&gt;0,"●","")</f>
        <v/>
      </c>
      <c r="J11" s="81">
        <f>IF(COUNTIFS(Matrix!A2:A91,"C6",Matrix!C2:C91,"F12")&gt;0,"●","")</f>
        <v/>
      </c>
    </row>
    <row r="12" ht="31.5" customHeight="1" s="39">
      <c r="A12" s="75" t="inlineStr">
        <is>
          <t>F13</t>
        </is>
      </c>
      <c r="B12" s="74" t="inlineStr">
        <is>
          <t>Telecheck_Contracts_Pack_v5_00_GLOSSARY.md</t>
        </is>
      </c>
      <c r="C12" s="76" t="inlineStr">
        <is>
          <t>Contracts</t>
        </is>
      </c>
      <c r="D12" s="80">
        <f>COUNTIF(Matrix!C2:C91,"F13")</f>
        <v/>
      </c>
      <c r="E12" s="81">
        <f>IF(COUNTIFS(Matrix!A2:A91,"C1",Matrix!C2:C91,"F13")&gt;0,"●","")</f>
        <v/>
      </c>
      <c r="F12" s="81">
        <f>IF(COUNTIFS(Matrix!A2:A91,"C2",Matrix!C2:C91,"F13")&gt;0,"●","")</f>
        <v/>
      </c>
      <c r="G12" s="81">
        <f>IF(COUNTIFS(Matrix!A2:A91,"C3",Matrix!C2:C91,"F13")&gt;0,"●","")</f>
        <v/>
      </c>
      <c r="H12" s="81">
        <f>IF(COUNTIFS(Matrix!A2:A91,"C4",Matrix!C2:C91,"F13")&gt;0,"●","")</f>
        <v/>
      </c>
      <c r="I12" s="81">
        <f>IF(COUNTIFS(Matrix!A2:A91,"C5",Matrix!C2:C91,"F13")&gt;0,"●","")</f>
        <v/>
      </c>
      <c r="J12" s="81">
        <f>IF(COUNTIFS(Matrix!A2:A91,"C6",Matrix!C2:C91,"F13")&gt;0,"●","")</f>
        <v/>
      </c>
    </row>
    <row r="13" ht="31.5" customHeight="1" s="39">
      <c r="A13" s="75" t="inlineStr">
        <is>
          <t>F14</t>
        </is>
      </c>
      <c r="B13" s="74" t="inlineStr">
        <is>
          <t>Telecheck_Contracts_Pack_v5_00_GOVERNANCE_CONTROLS.md</t>
        </is>
      </c>
      <c r="C13" s="76" t="inlineStr">
        <is>
          <t>Contracts</t>
        </is>
      </c>
      <c r="D13" s="80">
        <f>COUNTIF(Matrix!C2:C91,"F14")</f>
        <v/>
      </c>
      <c r="E13" s="81">
        <f>IF(COUNTIFS(Matrix!A2:A91,"C1",Matrix!C2:C91,"F14")&gt;0,"●","")</f>
        <v/>
      </c>
      <c r="F13" s="81">
        <f>IF(COUNTIFS(Matrix!A2:A91,"C2",Matrix!C2:C91,"F14")&gt;0,"●","")</f>
        <v/>
      </c>
      <c r="G13" s="81">
        <f>IF(COUNTIFS(Matrix!A2:A91,"C3",Matrix!C2:C91,"F14")&gt;0,"●","")</f>
        <v/>
      </c>
      <c r="H13" s="81">
        <f>IF(COUNTIFS(Matrix!A2:A91,"C4",Matrix!C2:C91,"F14")&gt;0,"●","")</f>
        <v/>
      </c>
      <c r="I13" s="81">
        <f>IF(COUNTIFS(Matrix!A2:A91,"C5",Matrix!C2:C91,"F14")&gt;0,"●","")</f>
        <v/>
      </c>
      <c r="J13" s="81">
        <f>IF(COUNTIFS(Matrix!A2:A91,"C6",Matrix!C2:C91,"F14")&gt;0,"●","")</f>
        <v/>
      </c>
    </row>
    <row r="14" ht="31.5" customHeight="1" s="39">
      <c r="A14" s="75" t="inlineStr">
        <is>
          <t>F16</t>
        </is>
      </c>
      <c r="B14" s="74" t="inlineStr">
        <is>
          <t>Telecheck_Contracts_Pack_v5_00_INVARIANTS.md</t>
        </is>
      </c>
      <c r="C14" s="76" t="inlineStr">
        <is>
          <t>Contracts</t>
        </is>
      </c>
      <c r="D14" s="80">
        <f>COUNTIF(Matrix!C2:C91,"F16")</f>
        <v/>
      </c>
      <c r="E14" s="81">
        <f>IF(COUNTIFS(Matrix!A2:A91,"C1",Matrix!C2:C91,"F16")&gt;0,"●","")</f>
        <v/>
      </c>
      <c r="F14" s="81">
        <f>IF(COUNTIFS(Matrix!A2:A91,"C2",Matrix!C2:C91,"F16")&gt;0,"●","")</f>
        <v/>
      </c>
      <c r="G14" s="81">
        <f>IF(COUNTIFS(Matrix!A2:A91,"C3",Matrix!C2:C91,"F16")&gt;0,"●","")</f>
        <v/>
      </c>
      <c r="H14" s="81">
        <f>IF(COUNTIFS(Matrix!A2:A91,"C4",Matrix!C2:C91,"F16")&gt;0,"●","")</f>
        <v/>
      </c>
      <c r="I14" s="81">
        <f>IF(COUNTIFS(Matrix!A2:A91,"C5",Matrix!C2:C91,"F16")&gt;0,"●","")</f>
        <v/>
      </c>
      <c r="J14" s="81">
        <f>IF(COUNTIFS(Matrix!A2:A91,"C6",Matrix!C2:C91,"F16")&gt;0,"●","")</f>
        <v/>
      </c>
    </row>
    <row r="15" ht="31.5" customHeight="1" s="39">
      <c r="A15" s="75" t="inlineStr">
        <is>
          <t>F17</t>
        </is>
      </c>
      <c r="B15" s="74" t="inlineStr">
        <is>
          <t>Telecheck_Contracts_Pack_v5_00_MARKET_LAUNCH.md</t>
        </is>
      </c>
      <c r="C15" s="76" t="inlineStr">
        <is>
          <t>Contracts</t>
        </is>
      </c>
      <c r="D15" s="80">
        <f>COUNTIF(Matrix!C2:C91,"F17")</f>
        <v/>
      </c>
      <c r="E15" s="81">
        <f>IF(COUNTIFS(Matrix!A2:A91,"C1",Matrix!C2:C91,"F17")&gt;0,"●","")</f>
        <v/>
      </c>
      <c r="F15" s="81">
        <f>IF(COUNTIFS(Matrix!A2:A91,"C2",Matrix!C2:C91,"F17")&gt;0,"●","")</f>
        <v/>
      </c>
      <c r="G15" s="81">
        <f>IF(COUNTIFS(Matrix!A2:A91,"C3",Matrix!C2:C91,"F17")&gt;0,"●","")</f>
        <v/>
      </c>
      <c r="H15" s="81">
        <f>IF(COUNTIFS(Matrix!A2:A91,"C4",Matrix!C2:C91,"F17")&gt;0,"●","")</f>
        <v/>
      </c>
      <c r="I15" s="81">
        <f>IF(COUNTIFS(Matrix!A2:A91,"C5",Matrix!C2:C91,"F17")&gt;0,"●","")</f>
        <v/>
      </c>
      <c r="J15" s="81">
        <f>IF(COUNTIFS(Matrix!A2:A91,"C6",Matrix!C2:C91,"F17")&gt;0,"●","")</f>
        <v/>
      </c>
    </row>
    <row r="16" ht="31.5" customHeight="1" s="39">
      <c r="A16" s="75" t="inlineStr">
        <is>
          <t>F19</t>
        </is>
      </c>
      <c r="B16" s="74" t="inlineStr">
        <is>
          <t>Telecheck_Contracts_Pack_v5_00_TYPES.md</t>
        </is>
      </c>
      <c r="C16" s="76" t="inlineStr">
        <is>
          <t>Contracts</t>
        </is>
      </c>
      <c r="D16" s="80">
        <f>COUNTIF(Matrix!C2:C91,"F19")</f>
        <v/>
      </c>
      <c r="E16" s="81">
        <f>IF(COUNTIFS(Matrix!A2:A91,"C1",Matrix!C2:C91,"F19")&gt;0,"●","")</f>
        <v/>
      </c>
      <c r="F16" s="81">
        <f>IF(COUNTIFS(Matrix!A2:A91,"C2",Matrix!C2:C91,"F19")&gt;0,"●","")</f>
        <v/>
      </c>
      <c r="G16" s="81">
        <f>IF(COUNTIFS(Matrix!A2:A91,"C3",Matrix!C2:C91,"F19")&gt;0,"●","")</f>
        <v/>
      </c>
      <c r="H16" s="81">
        <f>IF(COUNTIFS(Matrix!A2:A91,"C4",Matrix!C2:C91,"F19")&gt;0,"●","")</f>
        <v/>
      </c>
      <c r="I16" s="81">
        <f>IF(COUNTIFS(Matrix!A2:A91,"C5",Matrix!C2:C91,"F19")&gt;0,"●","")</f>
        <v/>
      </c>
      <c r="J16" s="81">
        <f>IF(COUNTIFS(Matrix!A2:A91,"C6",Matrix!C2:C91,"F19")&gt;0,"●","")</f>
        <v/>
      </c>
    </row>
    <row r="17" ht="31.5" customHeight="1" s="39">
      <c r="A17" s="75" t="inlineStr">
        <is>
          <t>F22</t>
        </is>
      </c>
      <c r="B17" s="74" t="inlineStr">
        <is>
          <t>Telecheck_Acquisition_Engagement_Tools_Slice_PRD_v1_0.md</t>
        </is>
      </c>
      <c r="C17" s="76" t="inlineStr">
        <is>
          <t>Slice PRD</t>
        </is>
      </c>
      <c r="D17" s="80">
        <f>COUNTIF(Matrix!C2:C91,"F22")</f>
        <v/>
      </c>
      <c r="E17" s="81">
        <f>IF(COUNTIFS(Matrix!A2:A91,"C1",Matrix!C2:C91,"F22")&gt;0,"●","")</f>
        <v/>
      </c>
      <c r="F17" s="81">
        <f>IF(COUNTIFS(Matrix!A2:A91,"C2",Matrix!C2:C91,"F22")&gt;0,"●","")</f>
        <v/>
      </c>
      <c r="G17" s="81">
        <f>IF(COUNTIFS(Matrix!A2:A91,"C3",Matrix!C2:C91,"F22")&gt;0,"●","")</f>
        <v/>
      </c>
      <c r="H17" s="81">
        <f>IF(COUNTIFS(Matrix!A2:A91,"C4",Matrix!C2:C91,"F22")&gt;0,"●","")</f>
        <v/>
      </c>
      <c r="I17" s="81">
        <f>IF(COUNTIFS(Matrix!A2:A91,"C5",Matrix!C2:C91,"F22")&gt;0,"●","")</f>
        <v/>
      </c>
      <c r="J17" s="81">
        <f>IF(COUNTIFS(Matrix!A2:A91,"C6",Matrix!C2:C91,"F22")&gt;0,"●","")</f>
        <v/>
      </c>
    </row>
    <row r="18" ht="31.5" customHeight="1" s="39">
      <c r="A18" s="75" t="inlineStr">
        <is>
          <t>F23</t>
        </is>
      </c>
      <c r="B18" s="74" t="inlineStr">
        <is>
          <t>Telecheck_Admin_Backend_Slice_PRD_v1_1.md</t>
        </is>
      </c>
      <c r="C18" s="76" t="inlineStr">
        <is>
          <t>Slice PRD</t>
        </is>
      </c>
      <c r="D18" s="80">
        <f>COUNTIF(Matrix!C2:C91,"F23")</f>
        <v/>
      </c>
      <c r="E18" s="81">
        <f>IF(COUNTIFS(Matrix!A2:A91,"C1",Matrix!C2:C91,"F23")&gt;0,"●","")</f>
        <v/>
      </c>
      <c r="F18" s="81">
        <f>IF(COUNTIFS(Matrix!A2:A91,"C2",Matrix!C2:C91,"F23")&gt;0,"●","")</f>
        <v/>
      </c>
      <c r="G18" s="81">
        <f>IF(COUNTIFS(Matrix!A2:A91,"C3",Matrix!C2:C91,"F23")&gt;0,"●","")</f>
        <v/>
      </c>
      <c r="H18" s="81">
        <f>IF(COUNTIFS(Matrix!A2:A91,"C4",Matrix!C2:C91,"F23")&gt;0,"●","")</f>
        <v/>
      </c>
      <c r="I18" s="81">
        <f>IF(COUNTIFS(Matrix!A2:A91,"C5",Matrix!C2:C91,"F23")&gt;0,"●","")</f>
        <v/>
      </c>
      <c r="J18" s="81">
        <f>IF(COUNTIFS(Matrix!A2:A91,"C6",Matrix!C2:C91,"F23")&gt;0,"●","")</f>
        <v/>
      </c>
    </row>
    <row r="19" ht="31.5" customHeight="1" s="39">
      <c r="A19" s="75" t="inlineStr">
        <is>
          <t>F24</t>
        </is>
      </c>
      <c r="B19" s="74" t="inlineStr">
        <is>
          <t>Telecheck_Admin_Configuration_Surfaces_Slice_PRD_v1_0.md</t>
        </is>
      </c>
      <c r="C19" s="76" t="inlineStr">
        <is>
          <t>Slice PRD</t>
        </is>
      </c>
      <c r="D19" s="80">
        <f>COUNTIF(Matrix!C2:C91,"F24")</f>
        <v/>
      </c>
      <c r="E19" s="81">
        <f>IF(COUNTIFS(Matrix!A2:A91,"C1",Matrix!C2:C91,"F24")&gt;0,"●","")</f>
        <v/>
      </c>
      <c r="F19" s="81">
        <f>IF(COUNTIFS(Matrix!A2:A91,"C2",Matrix!C2:C91,"F24")&gt;0,"●","")</f>
        <v/>
      </c>
      <c r="G19" s="81">
        <f>IF(COUNTIFS(Matrix!A2:A91,"C3",Matrix!C2:C91,"F24")&gt;0,"●","")</f>
        <v/>
      </c>
      <c r="H19" s="81">
        <f>IF(COUNTIFS(Matrix!A2:A91,"C4",Matrix!C2:C91,"F24")&gt;0,"●","")</f>
        <v/>
      </c>
      <c r="I19" s="81">
        <f>IF(COUNTIFS(Matrix!A2:A91,"C5",Matrix!C2:C91,"F24")&gt;0,"●","")</f>
        <v/>
      </c>
      <c r="J19" s="81">
        <f>IF(COUNTIFS(Matrix!A2:A91,"C6",Matrix!C2:C91,"F24")&gt;0,"●","")</f>
        <v/>
      </c>
    </row>
    <row r="20" ht="31.5" customHeight="1" s="39">
      <c r="A20" s="75" t="inlineStr">
        <is>
          <t>F25</t>
        </is>
      </c>
      <c r="B20" s="74" t="inlineStr">
        <is>
          <t>Telecheck_Adverse_Event_Reporting_Slice_PRD_v1_0.md</t>
        </is>
      </c>
      <c r="C20" s="76" t="inlineStr">
        <is>
          <t>Slice PRD</t>
        </is>
      </c>
      <c r="D20" s="80">
        <f>COUNTIF(Matrix!C2:C91,"F25")</f>
        <v/>
      </c>
      <c r="E20" s="81">
        <f>IF(COUNTIFS(Matrix!A2:A91,"C1",Matrix!C2:C91,"F25")&gt;0,"●","")</f>
        <v/>
      </c>
      <c r="F20" s="81">
        <f>IF(COUNTIFS(Matrix!A2:A91,"C2",Matrix!C2:C91,"F25")&gt;0,"●","")</f>
        <v/>
      </c>
      <c r="G20" s="81">
        <f>IF(COUNTIFS(Matrix!A2:A91,"C3",Matrix!C2:C91,"F25")&gt;0,"●","")</f>
        <v/>
      </c>
      <c r="H20" s="81">
        <f>IF(COUNTIFS(Matrix!A2:A91,"C4",Matrix!C2:C91,"F25")&gt;0,"●","")</f>
        <v/>
      </c>
      <c r="I20" s="81">
        <f>IF(COUNTIFS(Matrix!A2:A91,"C5",Matrix!C2:C91,"F25")&gt;0,"●","")</f>
        <v/>
      </c>
      <c r="J20" s="81">
        <f>IF(COUNTIFS(Matrix!A2:A91,"C6",Matrix!C2:C91,"F25")&gt;0,"●","")</f>
        <v/>
      </c>
    </row>
    <row r="21" ht="31.5" customHeight="1" s="39">
      <c r="A21" s="75" t="inlineStr">
        <is>
          <t>F27</t>
        </is>
      </c>
      <c r="B21" s="74" t="inlineStr">
        <is>
          <t>Telecheck_Community_Platform_Slice_PRD_v1_0.md</t>
        </is>
      </c>
      <c r="C21" s="76" t="inlineStr">
        <is>
          <t>Slice PRD</t>
        </is>
      </c>
      <c r="D21" s="80">
        <f>COUNTIF(Matrix!C2:C91,"F27")</f>
        <v/>
      </c>
      <c r="E21" s="81">
        <f>IF(COUNTIFS(Matrix!A2:A91,"C1",Matrix!C2:C91,"F27")&gt;0,"●","")</f>
        <v/>
      </c>
      <c r="F21" s="81">
        <f>IF(COUNTIFS(Matrix!A2:A91,"C2",Matrix!C2:C91,"F27")&gt;0,"●","")</f>
        <v/>
      </c>
      <c r="G21" s="81">
        <f>IF(COUNTIFS(Matrix!A2:A91,"C3",Matrix!C2:C91,"F27")&gt;0,"●","")</f>
        <v/>
      </c>
      <c r="H21" s="81">
        <f>IF(COUNTIFS(Matrix!A2:A91,"C4",Matrix!C2:C91,"F27")&gt;0,"●","")</f>
        <v/>
      </c>
      <c r="I21" s="81">
        <f>IF(COUNTIFS(Matrix!A2:A91,"C5",Matrix!C2:C91,"F27")&gt;0,"●","")</f>
        <v/>
      </c>
      <c r="J21" s="81">
        <f>IF(COUNTIFS(Matrix!A2:A91,"C6",Matrix!C2:C91,"F27")&gt;0,"●","")</f>
        <v/>
      </c>
    </row>
    <row r="22" ht="31.5" customHeight="1" s="39">
      <c r="A22" s="75" t="inlineStr">
        <is>
          <t>F28</t>
        </is>
      </c>
      <c r="B22" s="74" t="inlineStr">
        <is>
          <t>Telecheck_Consent_Delegated_Access_Slice_PRD_v1_0.md</t>
        </is>
      </c>
      <c r="C22" s="76" t="inlineStr">
        <is>
          <t>Slice PRD</t>
        </is>
      </c>
      <c r="D22" s="80">
        <f>COUNTIF(Matrix!C2:C91,"F28")</f>
        <v/>
      </c>
      <c r="E22" s="81">
        <f>IF(COUNTIFS(Matrix!A2:A91,"C1",Matrix!C2:C91,"F28")&gt;0,"●","")</f>
        <v/>
      </c>
      <c r="F22" s="81">
        <f>IF(COUNTIFS(Matrix!A2:A91,"C2",Matrix!C2:C91,"F28")&gt;0,"●","")</f>
        <v/>
      </c>
      <c r="G22" s="81">
        <f>IF(COUNTIFS(Matrix!A2:A91,"C3",Matrix!C2:C91,"F28")&gt;0,"●","")</f>
        <v/>
      </c>
      <c r="H22" s="81">
        <f>IF(COUNTIFS(Matrix!A2:A91,"C4",Matrix!C2:C91,"F28")&gt;0,"●","")</f>
        <v/>
      </c>
      <c r="I22" s="81">
        <f>IF(COUNTIFS(Matrix!A2:A91,"C5",Matrix!C2:C91,"F28")&gt;0,"●","")</f>
        <v/>
      </c>
      <c r="J22" s="81">
        <f>IF(COUNTIFS(Matrix!A2:A91,"C6",Matrix!C2:C91,"F28")&gt;0,"●","")</f>
        <v/>
      </c>
    </row>
    <row r="23" ht="31.5" customHeight="1" s="39">
      <c r="A23" s="75" t="inlineStr">
        <is>
          <t>F30</t>
        </is>
      </c>
      <c r="B23" s="74" t="inlineStr">
        <is>
          <t>Telecheck_Forms_Intake_Engine_Slice_PRD_v2_1.md</t>
        </is>
      </c>
      <c r="C23" s="76" t="inlineStr">
        <is>
          <t>Slice PRD</t>
        </is>
      </c>
      <c r="D23" s="80">
        <f>COUNTIF(Matrix!C2:C91,"F30")</f>
        <v/>
      </c>
      <c r="E23" s="81">
        <f>IF(COUNTIFS(Matrix!A2:A91,"C1",Matrix!C2:C91,"F30")&gt;0,"●","")</f>
        <v/>
      </c>
      <c r="F23" s="81">
        <f>IF(COUNTIFS(Matrix!A2:A91,"C2",Matrix!C2:C91,"F30")&gt;0,"●","")</f>
        <v/>
      </c>
      <c r="G23" s="81">
        <f>IF(COUNTIFS(Matrix!A2:A91,"C3",Matrix!C2:C91,"F30")&gt;0,"●","")</f>
        <v/>
      </c>
      <c r="H23" s="81">
        <f>IF(COUNTIFS(Matrix!A2:A91,"C4",Matrix!C2:C91,"F30")&gt;0,"●","")</f>
        <v/>
      </c>
      <c r="I23" s="81">
        <f>IF(COUNTIFS(Matrix!A2:A91,"C5",Matrix!C2:C91,"F30")&gt;0,"●","")</f>
        <v/>
      </c>
      <c r="J23" s="81">
        <f>IF(COUNTIFS(Matrix!A2:A91,"C6",Matrix!C2:C91,"F30")&gt;0,"●","")</f>
        <v/>
      </c>
    </row>
    <row r="24" ht="31.5" customHeight="1" s="39">
      <c r="A24" s="75" t="inlineStr">
        <is>
          <t>F31</t>
        </is>
      </c>
      <c r="B24" s="74" t="inlineStr">
        <is>
          <t>Telecheck_Herb_Drug_Interaction_Engine_Slice_PRD_v1_0.md</t>
        </is>
      </c>
      <c r="C24" s="76" t="inlineStr">
        <is>
          <t>Slice PRD</t>
        </is>
      </c>
      <c r="D24" s="80">
        <f>COUNTIF(Matrix!C2:C91,"F31")</f>
        <v/>
      </c>
      <c r="E24" s="81">
        <f>IF(COUNTIFS(Matrix!A2:A91,"C1",Matrix!C2:C91,"F31")&gt;0,"●","")</f>
        <v/>
      </c>
      <c r="F24" s="81">
        <f>IF(COUNTIFS(Matrix!A2:A91,"C2",Matrix!C2:C91,"F31")&gt;0,"●","")</f>
        <v/>
      </c>
      <c r="G24" s="81">
        <f>IF(COUNTIFS(Matrix!A2:A91,"C3",Matrix!C2:C91,"F31")&gt;0,"●","")</f>
        <v/>
      </c>
      <c r="H24" s="81">
        <f>IF(COUNTIFS(Matrix!A2:A91,"C4",Matrix!C2:C91,"F31")&gt;0,"●","")</f>
        <v/>
      </c>
      <c r="I24" s="81">
        <f>IF(COUNTIFS(Matrix!A2:A91,"C5",Matrix!C2:C91,"F31")&gt;0,"●","")</f>
        <v/>
      </c>
      <c r="J24" s="81">
        <f>IF(COUNTIFS(Matrix!A2:A91,"C6",Matrix!C2:C91,"F31")&gt;0,"●","")</f>
        <v/>
      </c>
    </row>
    <row r="25" ht="31.5" customHeight="1" s="39">
      <c r="A25" s="75" t="inlineStr">
        <is>
          <t>F33</t>
        </is>
      </c>
      <c r="B25" s="74" t="inlineStr">
        <is>
          <t>Telecheck_Market_Rollout_Cockpit_Slice_PRD_v1_0.md</t>
        </is>
      </c>
      <c r="C25" s="76" t="inlineStr">
        <is>
          <t>Slice PRD</t>
        </is>
      </c>
      <c r="D25" s="80">
        <f>COUNTIF(Matrix!C2:C91,"F33")</f>
        <v/>
      </c>
      <c r="E25" s="81">
        <f>IF(COUNTIFS(Matrix!A2:A91,"C1",Matrix!C2:C91,"F33")&gt;0,"●","")</f>
        <v/>
      </c>
      <c r="F25" s="81">
        <f>IF(COUNTIFS(Matrix!A2:A91,"C2",Matrix!C2:C91,"F33")&gt;0,"●","")</f>
        <v/>
      </c>
      <c r="G25" s="81">
        <f>IF(COUNTIFS(Matrix!A2:A91,"C3",Matrix!C2:C91,"F33")&gt;0,"●","")</f>
        <v/>
      </c>
      <c r="H25" s="81">
        <f>IF(COUNTIFS(Matrix!A2:A91,"C4",Matrix!C2:C91,"F33")&gt;0,"●","")</f>
        <v/>
      </c>
      <c r="I25" s="81">
        <f>IF(COUNTIFS(Matrix!A2:A91,"C5",Matrix!C2:C91,"F33")&gt;0,"●","")</f>
        <v/>
      </c>
      <c r="J25" s="81">
        <f>IF(COUNTIFS(Matrix!A2:A91,"C6",Matrix!C2:C91,"F33")&gt;0,"●","")</f>
        <v/>
      </c>
    </row>
    <row r="26" ht="31.5" customHeight="1" s="39">
      <c r="A26" s="75" t="inlineStr">
        <is>
          <t>F35</t>
        </is>
      </c>
      <c r="B26" s="74" t="inlineStr">
        <is>
          <t>Telecheck_Pharmacy_Refill_Slice_PRD_v2_1.md</t>
        </is>
      </c>
      <c r="C26" s="76" t="inlineStr">
        <is>
          <t>Slice PRD</t>
        </is>
      </c>
      <c r="D26" s="80">
        <f>COUNTIF(Matrix!C2:C91,"F35")</f>
        <v/>
      </c>
      <c r="E26" s="81">
        <f>IF(COUNTIFS(Matrix!A2:A91,"C1",Matrix!C2:C91,"F35")&gt;0,"●","")</f>
        <v/>
      </c>
      <c r="F26" s="81">
        <f>IF(COUNTIFS(Matrix!A2:A91,"C2",Matrix!C2:C91,"F35")&gt;0,"●","")</f>
        <v/>
      </c>
      <c r="G26" s="81">
        <f>IF(COUNTIFS(Matrix!A2:A91,"C3",Matrix!C2:C91,"F35")&gt;0,"●","")</f>
        <v/>
      </c>
      <c r="H26" s="81">
        <f>IF(COUNTIFS(Matrix!A2:A91,"C4",Matrix!C2:C91,"F35")&gt;0,"●","")</f>
        <v/>
      </c>
      <c r="I26" s="81">
        <f>IF(COUNTIFS(Matrix!A2:A91,"C5",Matrix!C2:C91,"F35")&gt;0,"●","")</f>
        <v/>
      </c>
      <c r="J26" s="81">
        <f>IF(COUNTIFS(Matrix!A2:A91,"C6",Matrix!C2:C91,"F35")&gt;0,"●","")</f>
        <v/>
      </c>
    </row>
    <row r="27" ht="31.5" customHeight="1" s="39">
      <c r="A27" s="75" t="inlineStr">
        <is>
          <t>F36</t>
        </is>
      </c>
      <c r="B27" s="74" t="inlineStr">
        <is>
          <t>Telecheck_RPM_CCM_Slice_PRD_v1_0.md</t>
        </is>
      </c>
      <c r="C27" s="76" t="inlineStr">
        <is>
          <t>Slice PRD</t>
        </is>
      </c>
      <c r="D27" s="80">
        <f>COUNTIF(Matrix!C2:C91,"F36")</f>
        <v/>
      </c>
      <c r="E27" s="81">
        <f>IF(COUNTIFS(Matrix!A2:A91,"C1",Matrix!C2:C91,"F36")&gt;0,"●","")</f>
        <v/>
      </c>
      <c r="F27" s="81">
        <f>IF(COUNTIFS(Matrix!A2:A91,"C2",Matrix!C2:C91,"F36")&gt;0,"●","")</f>
        <v/>
      </c>
      <c r="G27" s="81">
        <f>IF(COUNTIFS(Matrix!A2:A91,"C3",Matrix!C2:C91,"F36")&gt;0,"●","")</f>
        <v/>
      </c>
      <c r="H27" s="81">
        <f>IF(COUNTIFS(Matrix!A2:A91,"C4",Matrix!C2:C91,"F36")&gt;0,"●","")</f>
        <v/>
      </c>
      <c r="I27" s="81">
        <f>IF(COUNTIFS(Matrix!A2:A91,"C5",Matrix!C2:C91,"F36")&gt;0,"●","")</f>
        <v/>
      </c>
      <c r="J27" s="81">
        <f>IF(COUNTIFS(Matrix!A2:A91,"C6",Matrix!C2:C91,"F36")&gt;0,"●","")</f>
        <v/>
      </c>
    </row>
    <row r="28" ht="31.5" customHeight="1" s="39">
      <c r="A28" s="75" t="inlineStr">
        <is>
          <t>F38</t>
        </is>
      </c>
      <c r="B28" s="74" t="inlineStr">
        <is>
          <t>Telecheck_Canonical_Data_Model_v1_2.md</t>
        </is>
      </c>
      <c r="C28" s="76" t="inlineStr">
        <is>
          <t>Engineering</t>
        </is>
      </c>
      <c r="D28" s="80">
        <f>COUNTIF(Matrix!C2:C91,"F38")</f>
        <v/>
      </c>
      <c r="E28" s="81">
        <f>IF(COUNTIFS(Matrix!A2:A91,"C1",Matrix!C2:C91,"F38")&gt;0,"●","")</f>
        <v/>
      </c>
      <c r="F28" s="81">
        <f>IF(COUNTIFS(Matrix!A2:A91,"C2",Matrix!C2:C91,"F38")&gt;0,"●","")</f>
        <v/>
      </c>
      <c r="G28" s="81">
        <f>IF(COUNTIFS(Matrix!A2:A91,"C3",Matrix!C2:C91,"F38")&gt;0,"●","")</f>
        <v/>
      </c>
      <c r="H28" s="81">
        <f>IF(COUNTIFS(Matrix!A2:A91,"C4",Matrix!C2:C91,"F38")&gt;0,"●","")</f>
        <v/>
      </c>
      <c r="I28" s="81">
        <f>IF(COUNTIFS(Matrix!A2:A91,"C5",Matrix!C2:C91,"F38")&gt;0,"●","")</f>
        <v/>
      </c>
      <c r="J28" s="81">
        <f>IF(COUNTIFS(Matrix!A2:A91,"C6",Matrix!C2:C91,"F38")&gt;0,"●","")</f>
        <v/>
      </c>
    </row>
    <row r="29" ht="31.5" customHeight="1" s="39">
      <c r="A29" s="75" t="inlineStr">
        <is>
          <t>F39</t>
        </is>
      </c>
      <c r="B29" s="74" t="inlineStr">
        <is>
          <t>Telecheck_State_Machines_v1_1.md</t>
        </is>
      </c>
      <c r="C29" s="76" t="inlineStr">
        <is>
          <t>Engineering</t>
        </is>
      </c>
      <c r="D29" s="80">
        <f>COUNTIF(Matrix!C2:C91,"F39")</f>
        <v/>
      </c>
      <c r="E29" s="81">
        <f>IF(COUNTIFS(Matrix!A2:A91,"C1",Matrix!C2:C91,"F39")&gt;0,"●","")</f>
        <v/>
      </c>
      <c r="F29" s="81">
        <f>IF(COUNTIFS(Matrix!A2:A91,"C2",Matrix!C2:C91,"F39")&gt;0,"●","")</f>
        <v/>
      </c>
      <c r="G29" s="81">
        <f>IF(COUNTIFS(Matrix!A2:A91,"C3",Matrix!C2:C91,"F39")&gt;0,"●","")</f>
        <v/>
      </c>
      <c r="H29" s="81">
        <f>IF(COUNTIFS(Matrix!A2:A91,"C4",Matrix!C2:C91,"F39")&gt;0,"●","")</f>
        <v/>
      </c>
      <c r="I29" s="81">
        <f>IF(COUNTIFS(Matrix!A2:A91,"C5",Matrix!C2:C91,"F39")&gt;0,"●","")</f>
        <v/>
      </c>
      <c r="J29" s="81">
        <f>IF(COUNTIFS(Matrix!A2:A91,"C6",Matrix!C2:C91,"F39")&gt;0,"●","")</f>
        <v/>
      </c>
    </row>
    <row r="30" ht="31.5" customHeight="1" s="39">
      <c r="A30" s="75" t="inlineStr">
        <is>
          <t>F40</t>
        </is>
      </c>
      <c r="B30" s="74" t="inlineStr">
        <is>
          <t>Telecheck_OpenAPI_v0_2.md</t>
        </is>
      </c>
      <c r="C30" s="76" t="inlineStr">
        <is>
          <t>Engineering</t>
        </is>
      </c>
      <c r="D30" s="80">
        <f>COUNTIF(Matrix!C2:C91,"F40")</f>
        <v/>
      </c>
      <c r="E30" s="81">
        <f>IF(COUNTIFS(Matrix!A2:A91,"C1",Matrix!C2:C91,"F40")&gt;0,"●","")</f>
        <v/>
      </c>
      <c r="F30" s="81">
        <f>IF(COUNTIFS(Matrix!A2:A91,"C2",Matrix!C2:C91,"F40")&gt;0,"●","")</f>
        <v/>
      </c>
      <c r="G30" s="81">
        <f>IF(COUNTIFS(Matrix!A2:A91,"C3",Matrix!C2:C91,"F40")&gt;0,"●","")</f>
        <v/>
      </c>
      <c r="H30" s="81">
        <f>IF(COUNTIFS(Matrix!A2:A91,"C4",Matrix!C2:C91,"F40")&gt;0,"●","")</f>
        <v/>
      </c>
      <c r="I30" s="81">
        <f>IF(COUNTIFS(Matrix!A2:A91,"C5",Matrix!C2:C91,"F40")&gt;0,"●","")</f>
        <v/>
      </c>
      <c r="J30" s="81">
        <f>IF(COUNTIFS(Matrix!A2:A91,"C6",Matrix!C2:C91,"F40")&gt;0,"●","")</f>
        <v/>
      </c>
    </row>
    <row r="31" ht="31.5" customHeight="1" s="39">
      <c r="A31" s="75" t="inlineStr">
        <is>
          <t>F41</t>
        </is>
      </c>
      <c r="B31" s="74" t="inlineStr">
        <is>
          <t>Telecheck_System_Architecture_v1_2.md</t>
        </is>
      </c>
      <c r="C31" s="76" t="inlineStr">
        <is>
          <t>Engineering</t>
        </is>
      </c>
      <c r="D31" s="80">
        <f>COUNTIF(Matrix!C2:C91,"F41")</f>
        <v/>
      </c>
      <c r="E31" s="81">
        <f>IF(COUNTIFS(Matrix!A2:A91,"C1",Matrix!C2:C91,"F41")&gt;0,"●","")</f>
        <v/>
      </c>
      <c r="F31" s="81">
        <f>IF(COUNTIFS(Matrix!A2:A91,"C2",Matrix!C2:C91,"F41")&gt;0,"●","")</f>
        <v/>
      </c>
      <c r="G31" s="81">
        <f>IF(COUNTIFS(Matrix!A2:A91,"C3",Matrix!C2:C91,"F41")&gt;0,"●","")</f>
        <v/>
      </c>
      <c r="H31" s="81">
        <f>IF(COUNTIFS(Matrix!A2:A91,"C4",Matrix!C2:C91,"F41")&gt;0,"●","")</f>
        <v/>
      </c>
      <c r="I31" s="81">
        <f>IF(COUNTIFS(Matrix!A2:A91,"C5",Matrix!C2:C91,"F41")&gt;0,"●","")</f>
        <v/>
      </c>
      <c r="J31" s="81">
        <f>IF(COUNTIFS(Matrix!A2:A91,"C6",Matrix!C2:C91,"F41")&gt;0,"●","")</f>
        <v/>
      </c>
    </row>
    <row r="32" ht="31.5" customHeight="1" s="39">
      <c r="A32" s="75" t="inlineStr">
        <is>
          <t>F42</t>
        </is>
      </c>
      <c r="B32" s="74" t="inlineStr">
        <is>
          <t>Telecheck_RBAC_Permissions_Matrix_v1_1.md</t>
        </is>
      </c>
      <c r="C32" s="76" t="inlineStr">
        <is>
          <t>Engineering</t>
        </is>
      </c>
      <c r="D32" s="80">
        <f>COUNTIF(Matrix!C2:C91,"F42")</f>
        <v/>
      </c>
      <c r="E32" s="81">
        <f>IF(COUNTIFS(Matrix!A2:A91,"C1",Matrix!C2:C91,"F42")&gt;0,"●","")</f>
        <v/>
      </c>
      <c r="F32" s="81">
        <f>IF(COUNTIFS(Matrix!A2:A91,"C2",Matrix!C2:C91,"F42")&gt;0,"●","")</f>
        <v/>
      </c>
      <c r="G32" s="81">
        <f>IF(COUNTIFS(Matrix!A2:A91,"C3",Matrix!C2:C91,"F42")&gt;0,"●","")</f>
        <v/>
      </c>
      <c r="H32" s="81">
        <f>IF(COUNTIFS(Matrix!A2:A91,"C4",Matrix!C2:C91,"F42")&gt;0,"●","")</f>
        <v/>
      </c>
      <c r="I32" s="81">
        <f>IF(COUNTIFS(Matrix!A2:A91,"C5",Matrix!C2:C91,"F42")&gt;0,"●","")</f>
        <v/>
      </c>
      <c r="J32" s="81">
        <f>IF(COUNTIFS(Matrix!A2:A91,"C6",Matrix!C2:C91,"F42")&gt;0,"●","")</f>
        <v/>
      </c>
    </row>
    <row r="33" ht="31.5" customHeight="1" s="39">
      <c r="A33" s="75" t="inlineStr">
        <is>
          <t>F45</t>
        </is>
      </c>
      <c r="B33" s="74" t="inlineStr">
        <is>
          <t>Telecheck_Messaging_Inbox_Spec_v1_0.md</t>
        </is>
      </c>
      <c r="C33" s="76" t="inlineStr">
        <is>
          <t>Spec</t>
        </is>
      </c>
      <c r="D33" s="80">
        <f>COUNTIF(Matrix!C2:C91,"F45")</f>
        <v/>
      </c>
      <c r="E33" s="81">
        <f>IF(COUNTIFS(Matrix!A2:A91,"C1",Matrix!C2:C91,"F45")&gt;0,"●","")</f>
        <v/>
      </c>
      <c r="F33" s="81">
        <f>IF(COUNTIFS(Matrix!A2:A91,"C2",Matrix!C2:C91,"F45")&gt;0,"●","")</f>
        <v/>
      </c>
      <c r="G33" s="81">
        <f>IF(COUNTIFS(Matrix!A2:A91,"C3",Matrix!C2:C91,"F45")&gt;0,"●","")</f>
        <v/>
      </c>
      <c r="H33" s="81">
        <f>IF(COUNTIFS(Matrix!A2:A91,"C4",Matrix!C2:C91,"F45")&gt;0,"●","")</f>
        <v/>
      </c>
      <c r="I33" s="81">
        <f>IF(COUNTIFS(Matrix!A2:A91,"C5",Matrix!C2:C91,"F45")&gt;0,"●","")</f>
        <v/>
      </c>
      <c r="J33" s="81">
        <f>IF(COUNTIFS(Matrix!A2:A91,"C6",Matrix!C2:C91,"F45")&gt;0,"●","")</f>
        <v/>
      </c>
    </row>
    <row r="34" ht="31.5" customHeight="1" s="39">
      <c r="A34" s="75" t="inlineStr">
        <is>
          <t>F46</t>
        </is>
      </c>
      <c r="B34" s="74" t="inlineStr">
        <is>
          <t>Telecheck_Notification_Spec_v1_1.md</t>
        </is>
      </c>
      <c r="C34" s="76" t="inlineStr">
        <is>
          <t>Spec</t>
        </is>
      </c>
      <c r="D34" s="80">
        <f>COUNTIF(Matrix!C2:C91,"F46")</f>
        <v/>
      </c>
      <c r="E34" s="81">
        <f>IF(COUNTIFS(Matrix!A2:A91,"C1",Matrix!C2:C91,"F46")&gt;0,"●","")</f>
        <v/>
      </c>
      <c r="F34" s="81">
        <f>IF(COUNTIFS(Matrix!A2:A91,"C2",Matrix!C2:C91,"F46")&gt;0,"●","")</f>
        <v/>
      </c>
      <c r="G34" s="81">
        <f>IF(COUNTIFS(Matrix!A2:A91,"C3",Matrix!C2:C91,"F46")&gt;0,"●","")</f>
        <v/>
      </c>
      <c r="H34" s="81">
        <f>IF(COUNTIFS(Matrix!A2:A91,"C4",Matrix!C2:C91,"F46")&gt;0,"●","")</f>
        <v/>
      </c>
      <c r="I34" s="81">
        <f>IF(COUNTIFS(Matrix!A2:A91,"C5",Matrix!C2:C91,"F46")&gt;0,"●","")</f>
        <v/>
      </c>
      <c r="J34" s="81">
        <f>IF(COUNTIFS(Matrix!A2:A91,"C6",Matrix!C2:C91,"F46")&gt;0,"●","")</f>
        <v/>
      </c>
    </row>
    <row r="35" ht="31.5" customHeight="1" s="39">
      <c r="A35" s="75" t="inlineStr">
        <is>
          <t>F47</t>
        </is>
      </c>
      <c r="B35" s="74" t="inlineStr">
        <is>
          <t>Telecheck_Engineering_Handoff_Build_Guide_v1_3.md</t>
        </is>
      </c>
      <c r="C35" s="76" t="inlineStr">
        <is>
          <t>Engineering</t>
        </is>
      </c>
      <c r="D35" s="80">
        <f>COUNTIF(Matrix!C2:C91,"F47")</f>
        <v/>
      </c>
      <c r="E35" s="81">
        <f>IF(COUNTIFS(Matrix!A2:A91,"C1",Matrix!C2:C91,"F47")&gt;0,"●","")</f>
        <v/>
      </c>
      <c r="F35" s="81">
        <f>IF(COUNTIFS(Matrix!A2:A91,"C2",Matrix!C2:C91,"F47")&gt;0,"●","")</f>
        <v/>
      </c>
      <c r="G35" s="81">
        <f>IF(COUNTIFS(Matrix!A2:A91,"C3",Matrix!C2:C91,"F47")&gt;0,"●","")</f>
        <v/>
      </c>
      <c r="H35" s="81">
        <f>IF(COUNTIFS(Matrix!A2:A91,"C4",Matrix!C2:C91,"F47")&gt;0,"●","")</f>
        <v/>
      </c>
      <c r="I35" s="81">
        <f>IF(COUNTIFS(Matrix!A2:A91,"C5",Matrix!C2:C91,"F47")&gt;0,"●","")</f>
        <v/>
      </c>
      <c r="J35" s="81">
        <f>IF(COUNTIFS(Matrix!A2:A91,"C6",Matrix!C2:C91,"F47")&gt;0,"●","")</f>
        <v/>
      </c>
    </row>
    <row r="36" ht="31.5" customHeight="1" s="39">
      <c r="A36" s="75" t="inlineStr">
        <is>
          <t>F48</t>
        </is>
      </c>
      <c r="B36" s="74" t="inlineStr">
        <is>
          <t>Telecheck_Tenant_Threading_Addendum_v1_0.md</t>
        </is>
      </c>
      <c r="C36" s="76" t="inlineStr">
        <is>
          <t>Engineering</t>
        </is>
      </c>
      <c r="D36" s="80">
        <f>COUNTIF(Matrix!C2:C91,"F48")</f>
        <v/>
      </c>
      <c r="E36" s="81">
        <f>IF(COUNTIFS(Matrix!A2:A91,"C1",Matrix!C2:C91,"F48")&gt;0,"●","")</f>
        <v/>
      </c>
      <c r="F36" s="81">
        <f>IF(COUNTIFS(Matrix!A2:A91,"C2",Matrix!C2:C91,"F48")&gt;0,"●","")</f>
        <v/>
      </c>
      <c r="G36" s="81">
        <f>IF(COUNTIFS(Matrix!A2:A91,"C3",Matrix!C2:C91,"F48")&gt;0,"●","")</f>
        <v/>
      </c>
      <c r="H36" s="81">
        <f>IF(COUNTIFS(Matrix!A2:A91,"C4",Matrix!C2:C91,"F48")&gt;0,"●","")</f>
        <v/>
      </c>
      <c r="I36" s="81">
        <f>IF(COUNTIFS(Matrix!A2:A91,"C5",Matrix!C2:C91,"F48")&gt;0,"●","")</f>
        <v/>
      </c>
      <c r="J36" s="81">
        <f>IF(COUNTIFS(Matrix!A2:A91,"C6",Matrix!C2:C91,"F48")&gt;0,"●","")</f>
        <v/>
      </c>
    </row>
    <row r="37" ht="31.5" customHeight="1" s="39">
      <c r="A37" s="75" t="inlineStr">
        <is>
          <t>F49</t>
        </is>
      </c>
      <c r="B37" s="74" t="inlineStr">
        <is>
          <t>Telecheck_Design_Implementation_Contract_v1_0.md</t>
        </is>
      </c>
      <c r="C37" s="76" t="inlineStr">
        <is>
          <t>Engineering</t>
        </is>
      </c>
      <c r="D37" s="80">
        <f>COUNTIF(Matrix!C2:C91,"F49")</f>
        <v/>
      </c>
      <c r="E37" s="81">
        <f>IF(COUNTIFS(Matrix!A2:A91,"C1",Matrix!C2:C91,"F49")&gt;0,"●","")</f>
        <v/>
      </c>
      <c r="F37" s="81">
        <f>IF(COUNTIFS(Matrix!A2:A91,"C2",Matrix!C2:C91,"F49")&gt;0,"●","")</f>
        <v/>
      </c>
      <c r="G37" s="81">
        <f>IF(COUNTIFS(Matrix!A2:A91,"C3",Matrix!C2:C91,"F49")&gt;0,"●","")</f>
        <v/>
      </c>
      <c r="H37" s="81">
        <f>IF(COUNTIFS(Matrix!A2:A91,"C4",Matrix!C2:C91,"F49")&gt;0,"●","")</f>
        <v/>
      </c>
      <c r="I37" s="81">
        <f>IF(COUNTIFS(Matrix!A2:A91,"C5",Matrix!C2:C91,"F49")&gt;0,"●","")</f>
        <v/>
      </c>
      <c r="J37" s="81">
        <f>IF(COUNTIFS(Matrix!A2:A91,"C6",Matrix!C2:C91,"F49")&gt;0,"●","")</f>
        <v/>
      </c>
    </row>
    <row r="38" ht="31.5" customHeight="1" s="39">
      <c r="A38" s="75" t="inlineStr">
        <is>
          <t>F50</t>
        </is>
      </c>
      <c r="B38" s="74" t="inlineStr">
        <is>
          <t>Telecheck_Patient_App_IA_v1_0.md</t>
        </is>
      </c>
      <c r="C38" s="76" t="inlineStr">
        <is>
          <t>IA</t>
        </is>
      </c>
      <c r="D38" s="80">
        <f>COUNTIF(Matrix!C2:C91,"F50")</f>
        <v/>
      </c>
      <c r="E38" s="81">
        <f>IF(COUNTIFS(Matrix!A2:A91,"C1",Matrix!C2:C91,"F50")&gt;0,"●","")</f>
        <v/>
      </c>
      <c r="F38" s="81">
        <f>IF(COUNTIFS(Matrix!A2:A91,"C2",Matrix!C2:C91,"F50")&gt;0,"●","")</f>
        <v/>
      </c>
      <c r="G38" s="81">
        <f>IF(COUNTIFS(Matrix!A2:A91,"C3",Matrix!C2:C91,"F50")&gt;0,"●","")</f>
        <v/>
      </c>
      <c r="H38" s="81">
        <f>IF(COUNTIFS(Matrix!A2:A91,"C4",Matrix!C2:C91,"F50")&gt;0,"●","")</f>
        <v/>
      </c>
      <c r="I38" s="81">
        <f>IF(COUNTIFS(Matrix!A2:A91,"C5",Matrix!C2:C91,"F50")&gt;0,"●","")</f>
        <v/>
      </c>
      <c r="J38" s="81">
        <f>IF(COUNTIFS(Matrix!A2:A91,"C6",Matrix!C2:C91,"F50")&gt;0,"●","")</f>
        <v/>
      </c>
    </row>
    <row r="39" ht="31.5" customHeight="1" s="39">
      <c r="A39" s="75" t="inlineStr">
        <is>
          <t>F54</t>
        </is>
      </c>
      <c r="B39" s="74" t="inlineStr">
        <is>
          <t>Telecheck_Design_System_v1_1.md</t>
        </is>
      </c>
      <c r="C39" s="76" t="inlineStr">
        <is>
          <t>Design</t>
        </is>
      </c>
      <c r="D39" s="80">
        <f>COUNTIF(Matrix!C2:C91,"F54")</f>
        <v/>
      </c>
      <c r="E39" s="81">
        <f>IF(COUNTIFS(Matrix!A2:A91,"C1",Matrix!C2:C91,"F54")&gt;0,"●","")</f>
        <v/>
      </c>
      <c r="F39" s="81">
        <f>IF(COUNTIFS(Matrix!A2:A91,"C2",Matrix!C2:C91,"F54")&gt;0,"●","")</f>
        <v/>
      </c>
      <c r="G39" s="81">
        <f>IF(COUNTIFS(Matrix!A2:A91,"C3",Matrix!C2:C91,"F54")&gt;0,"●","")</f>
        <v/>
      </c>
      <c r="H39" s="81">
        <f>IF(COUNTIFS(Matrix!A2:A91,"C4",Matrix!C2:C91,"F54")&gt;0,"●","")</f>
        <v/>
      </c>
      <c r="I39" s="81">
        <f>IF(COUNTIFS(Matrix!A2:A91,"C5",Matrix!C2:C91,"F54")&gt;0,"●","")</f>
        <v/>
      </c>
      <c r="J39" s="81">
        <f>IF(COUNTIFS(Matrix!A2:A91,"C6",Matrix!C2:C91,"F54")&gt;0,"●","")</f>
        <v/>
      </c>
    </row>
    <row r="40" ht="31.5" customHeight="1" s="39">
      <c r="A40" s="75" t="inlineStr">
        <is>
          <t>F55</t>
        </is>
      </c>
      <c r="B40" s="74" t="inlineStr">
        <is>
          <t>Telecheck_Ghana_Launch_Playbook_v1_2.md</t>
        </is>
      </c>
      <c r="C40" s="76" t="inlineStr">
        <is>
          <t>Operations</t>
        </is>
      </c>
      <c r="D40" s="80">
        <f>COUNTIF(Matrix!C2:C91,"F55")</f>
        <v/>
      </c>
      <c r="E40" s="81">
        <f>IF(COUNTIFS(Matrix!A2:A91,"C1",Matrix!C2:C91,"F55")&gt;0,"●","")</f>
        <v/>
      </c>
      <c r="F40" s="81">
        <f>IF(COUNTIFS(Matrix!A2:A91,"C2",Matrix!C2:C91,"F55")&gt;0,"●","")</f>
        <v/>
      </c>
      <c r="G40" s="81">
        <f>IF(COUNTIFS(Matrix!A2:A91,"C3",Matrix!C2:C91,"F55")&gt;0,"●","")</f>
        <v/>
      </c>
      <c r="H40" s="81">
        <f>IF(COUNTIFS(Matrix!A2:A91,"C4",Matrix!C2:C91,"F55")&gt;0,"●","")</f>
        <v/>
      </c>
      <c r="I40" s="81">
        <f>IF(COUNTIFS(Matrix!A2:A91,"C5",Matrix!C2:C91,"F55")&gt;0,"●","")</f>
        <v/>
      </c>
      <c r="J40" s="81">
        <f>IF(COUNTIFS(Matrix!A2:A91,"C6",Matrix!C2:C91,"F55")&gt;0,"●","")</f>
        <v/>
      </c>
    </row>
    <row r="41" ht="31.5" customHeight="1" s="39">
      <c r="A41" s="75" t="inlineStr">
        <is>
          <t>F58</t>
        </is>
      </c>
      <c r="B41" s="74" t="inlineStr">
        <is>
          <t>Telecheck_Operational_Readiness_Todo_v1_5.md</t>
        </is>
      </c>
      <c r="C41" s="76" t="inlineStr">
        <is>
          <t>Operations</t>
        </is>
      </c>
      <c r="D41" s="80">
        <f>COUNTIF(Matrix!C2:C91,"F58")</f>
        <v/>
      </c>
      <c r="E41" s="81">
        <f>IF(COUNTIFS(Matrix!A2:A91,"C1",Matrix!C2:C91,"F58")&gt;0,"●","")</f>
        <v/>
      </c>
      <c r="F41" s="81">
        <f>IF(COUNTIFS(Matrix!A2:A91,"C2",Matrix!C2:C91,"F58")&gt;0,"●","")</f>
        <v/>
      </c>
      <c r="G41" s="81">
        <f>IF(COUNTIFS(Matrix!A2:A91,"C3",Matrix!C2:C91,"F58")&gt;0,"●","")</f>
        <v/>
      </c>
      <c r="H41" s="81">
        <f>IF(COUNTIFS(Matrix!A2:A91,"C4",Matrix!C2:C91,"F58")&gt;0,"●","")</f>
        <v/>
      </c>
      <c r="I41" s="81">
        <f>IF(COUNTIFS(Matrix!A2:A91,"C5",Matrix!C2:C91,"F58")&gt;0,"●","")</f>
        <v/>
      </c>
      <c r="J41" s="81">
        <f>IF(COUNTIFS(Matrix!A2:A91,"C6",Matrix!C2:C91,"F58")&gt;0,"●","")</f>
        <v/>
      </c>
    </row>
    <row r="42" ht="31.5" customHeight="1" s="39">
      <c r="A42" s="75" t="inlineStr">
        <is>
          <t>F59</t>
        </is>
      </c>
      <c r="B42" s="74" t="inlineStr">
        <is>
          <t>Telecheck_Artifact_Registry_v2_9.md</t>
        </is>
      </c>
      <c r="C42" s="76" t="inlineStr">
        <is>
          <t>Registry</t>
        </is>
      </c>
      <c r="D42" s="80">
        <f>COUNTIF(Matrix!C2:C91,"F59")</f>
        <v/>
      </c>
      <c r="E42" s="81">
        <f>IF(COUNTIFS(Matrix!A2:A91,"C1",Matrix!C2:C91,"F59")&gt;0,"●","")</f>
        <v/>
      </c>
      <c r="F42" s="81">
        <f>IF(COUNTIFS(Matrix!A2:A91,"C2",Matrix!C2:C91,"F59")&gt;0,"●","")</f>
        <v/>
      </c>
      <c r="G42" s="81">
        <f>IF(COUNTIFS(Matrix!A2:A91,"C3",Matrix!C2:C91,"F59")&gt;0,"●","")</f>
        <v/>
      </c>
      <c r="H42" s="81">
        <f>IF(COUNTIFS(Matrix!A2:A91,"C4",Matrix!C2:C91,"F59")&gt;0,"●","")</f>
        <v/>
      </c>
      <c r="I42" s="81">
        <f>IF(COUNTIFS(Matrix!A2:A91,"C5",Matrix!C2:C91,"F59")&gt;0,"●","")</f>
        <v/>
      </c>
      <c r="J42" s="81">
        <f>IF(COUNTIFS(Matrix!A2:A91,"C6",Matrix!C2:C91,"F59")&gt;0,"●","")</f>
        <v/>
      </c>
    </row>
    <row r="43" ht="31.5" customHeight="1" s="39">
      <c r="A43" s="75" t="inlineStr">
        <is>
          <t>F62</t>
        </is>
      </c>
      <c r="B43" s="74" t="inlineStr">
        <is>
          <t>CLAUDE_CODE_BOOT_SEQUENCE.md</t>
        </is>
      </c>
      <c r="C43" s="76" t="inlineStr">
        <is>
          <t>Registry</t>
        </is>
      </c>
      <c r="D43" s="80">
        <f>COUNTIF(Matrix!C2:C91,"F62")</f>
        <v/>
      </c>
      <c r="E43" s="81">
        <f>IF(COUNTIFS(Matrix!A2:A91,"C1",Matrix!C2:C91,"F62")&gt;0,"●","")</f>
        <v/>
      </c>
      <c r="F43" s="81">
        <f>IF(COUNTIFS(Matrix!A2:A91,"C2",Matrix!C2:C91,"F62")&gt;0,"●","")</f>
        <v/>
      </c>
      <c r="G43" s="81">
        <f>IF(COUNTIFS(Matrix!A2:A91,"C3",Matrix!C2:C91,"F62")&gt;0,"●","")</f>
        <v/>
      </c>
      <c r="H43" s="81">
        <f>IF(COUNTIFS(Matrix!A2:A91,"C4",Matrix!C2:C91,"F62")&gt;0,"●","")</f>
        <v/>
      </c>
      <c r="I43" s="81">
        <f>IF(COUNTIFS(Matrix!A2:A91,"C5",Matrix!C2:C91,"F62")&gt;0,"●","")</f>
        <v/>
      </c>
      <c r="J43" s="81">
        <f>IF(COUNTIFS(Matrix!A2:A91,"C6",Matrix!C2:C91,"F62")&gt;0,"●","")</f>
        <v/>
      </c>
    </row>
    <row r="44" ht="31.5" customHeight="1" s="39">
      <c r="A44" s="75" t="inlineStr">
        <is>
          <t>F64</t>
        </is>
      </c>
      <c r="B44" s="74" t="inlineStr">
        <is>
          <t>Telecheck_Investor_One_Pager.md</t>
        </is>
      </c>
      <c r="C44" s="76" t="inlineStr">
        <is>
          <t>External</t>
        </is>
      </c>
      <c r="D44" s="80">
        <f>COUNTIF(Matrix!C2:C91,"F64")</f>
        <v/>
      </c>
      <c r="E44" s="81">
        <f>IF(COUNTIFS(Matrix!A2:A91,"C1",Matrix!C2:C91,"F64")&gt;0,"●","")</f>
        <v/>
      </c>
      <c r="F44" s="81">
        <f>IF(COUNTIFS(Matrix!A2:A91,"C2",Matrix!C2:C91,"F64")&gt;0,"●","")</f>
        <v/>
      </c>
      <c r="G44" s="81">
        <f>IF(COUNTIFS(Matrix!A2:A91,"C3",Matrix!C2:C91,"F64")&gt;0,"●","")</f>
        <v/>
      </c>
      <c r="H44" s="81">
        <f>IF(COUNTIFS(Matrix!A2:A91,"C4",Matrix!C2:C91,"F64")&gt;0,"●","")</f>
        <v/>
      </c>
      <c r="I44" s="81">
        <f>IF(COUNTIFS(Matrix!A2:A91,"C5",Matrix!C2:C91,"F64")&gt;0,"●","")</f>
        <v/>
      </c>
      <c r="J44" s="81">
        <f>IF(COUNTIFS(Matrix!A2:A91,"C6",Matrix!C2:C91,"F64")&gt;0,"●","")</f>
        <v/>
      </c>
    </row>
    <row r="45" ht="31.5" customHeight="1" s="39">
      <c r="A45" s="75" t="inlineStr">
        <is>
          <t>F65</t>
        </is>
      </c>
      <c r="B45" s="74" t="inlineStr">
        <is>
          <t>Telecheck_Reviewer_Brief_v1_0.md</t>
        </is>
      </c>
      <c r="C45" s="76" t="inlineStr">
        <is>
          <t>External</t>
        </is>
      </c>
      <c r="D45" s="80">
        <f>COUNTIF(Matrix!C2:C91,"F65")</f>
        <v/>
      </c>
      <c r="E45" s="81">
        <f>IF(COUNTIFS(Matrix!A2:A91,"C1",Matrix!C2:C91,"F65")&gt;0,"●","")</f>
        <v/>
      </c>
      <c r="F45" s="81">
        <f>IF(COUNTIFS(Matrix!A2:A91,"C2",Matrix!C2:C91,"F65")&gt;0,"●","")</f>
        <v/>
      </c>
      <c r="G45" s="81">
        <f>IF(COUNTIFS(Matrix!A2:A91,"C3",Matrix!C2:C91,"F65")&gt;0,"●","")</f>
        <v/>
      </c>
      <c r="H45" s="81">
        <f>IF(COUNTIFS(Matrix!A2:A91,"C4",Matrix!C2:C91,"F65")&gt;0,"●","")</f>
        <v/>
      </c>
      <c r="I45" s="81">
        <f>IF(COUNTIFS(Matrix!A2:A91,"C5",Matrix!C2:C91,"F65")&gt;0,"●","")</f>
        <v/>
      </c>
      <c r="J45" s="81">
        <f>IF(COUNTIFS(Matrix!A2:A91,"C6",Matrix!C2:C91,"F65")&gt;0,"●","")</f>
        <v/>
      </c>
    </row>
    <row r="46" ht="31.5" customHeight="1" s="39">
      <c r="A46" s="75" t="inlineStr">
        <is>
          <t>F66</t>
        </is>
      </c>
      <c r="B46" s="74" t="inlineStr">
        <is>
          <t>Telecheck_ADR_027_Country_Conditional_DTC_Marketing.md</t>
        </is>
      </c>
      <c r="C46" s="76" t="inlineStr">
        <is>
          <t>ADR (new)</t>
        </is>
      </c>
      <c r="D46" s="80">
        <f>COUNTIF(Matrix!C2:C91,"F66")</f>
        <v/>
      </c>
      <c r="E46" s="81">
        <f>IF(COUNTIFS(Matrix!A2:A91,"C1",Matrix!C2:C91,"F66")&gt;0,"●","")</f>
        <v/>
      </c>
      <c r="F46" s="81">
        <f>IF(COUNTIFS(Matrix!A2:A91,"C2",Matrix!C2:C91,"F66")&gt;0,"●","")</f>
        <v/>
      </c>
      <c r="G46" s="81">
        <f>IF(COUNTIFS(Matrix!A2:A91,"C3",Matrix!C2:C91,"F66")&gt;0,"●","")</f>
        <v/>
      </c>
      <c r="H46" s="81">
        <f>IF(COUNTIFS(Matrix!A2:A91,"C4",Matrix!C2:C91,"F66")&gt;0,"●","")</f>
        <v/>
      </c>
      <c r="I46" s="81">
        <f>IF(COUNTIFS(Matrix!A2:A91,"C5",Matrix!C2:C91,"F66")&gt;0,"●","")</f>
        <v/>
      </c>
      <c r="J46" s="81">
        <f>IF(COUNTIFS(Matrix!A2:A91,"C6",Matrix!C2:C91,"F66")&gt;0,"●","")</f>
        <v/>
      </c>
    </row>
    <row r="47" ht="31.5" customHeight="1" s="39">
      <c r="A47" s="75" t="inlineStr">
        <is>
          <t>F67</t>
        </is>
      </c>
      <c r="B47" s="74" t="inlineStr">
        <is>
          <t>Telecheck_ADR_028_Research_Data_Partnership_Posture_A.md</t>
        </is>
      </c>
      <c r="C47" s="76" t="inlineStr">
        <is>
          <t>ADR (new)</t>
        </is>
      </c>
      <c r="D47" s="80">
        <f>COUNTIF(Matrix!C2:C91,"F67")</f>
        <v/>
      </c>
      <c r="E47" s="81">
        <f>IF(COUNTIFS(Matrix!A2:A91,"C1",Matrix!C2:C91,"F67")&gt;0,"●","")</f>
        <v/>
      </c>
      <c r="F47" s="81">
        <f>IF(COUNTIFS(Matrix!A2:A91,"C2",Matrix!C2:C91,"F67")&gt;0,"●","")</f>
        <v/>
      </c>
      <c r="G47" s="81">
        <f>IF(COUNTIFS(Matrix!A2:A91,"C3",Matrix!C2:C91,"F67")&gt;0,"●","")</f>
        <v/>
      </c>
      <c r="H47" s="81">
        <f>IF(COUNTIFS(Matrix!A2:A91,"C4",Matrix!C2:C91,"F67")&gt;0,"●","")</f>
        <v/>
      </c>
      <c r="I47" s="81">
        <f>IF(COUNTIFS(Matrix!A2:A91,"C5",Matrix!C2:C91,"F67")&gt;0,"●","")</f>
        <v/>
      </c>
      <c r="J47" s="81">
        <f>IF(COUNTIFS(Matrix!A2:A91,"C6",Matrix!C2:C91,"F67")&gt;0,"●","")</f>
        <v/>
      </c>
    </row>
  </sheetData>
  <mergeCells count="1">
    <mergeCell ref="A1:I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2026-04-28T21:16:07Z</dcterms:created>
  <dcterms:modified xmlns:dcterms="http://purl.org/dc/terms/" xmlns:xsi="http://www.w3.org/2001/XMLSchema-instance" xsi:type="dcterms:W3CDTF">2026-05-01T17:37:54Z</dcterms:modified>
  <cp:revision>0</cp:revision>
</cp:coreProperties>
</file>